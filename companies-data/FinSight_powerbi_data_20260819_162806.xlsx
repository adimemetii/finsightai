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Blacksn0w\Downloads\"/>
    </mc:Choice>
  </mc:AlternateContent>
  <xr:revisionPtr revIDLastSave="0" documentId="8_{F781FB95-08E7-45A3-8696-DCE26AB7B64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shboard" sheetId="1" r:id="rId1"/>
    <sheet name="Cleaned_Data" sheetId="2" r:id="rId2"/>
    <sheet name="Predictions" sheetId="3" r:id="rId3"/>
    <sheet name="Prediction_vs_Actual" sheetId="4" r:id="rId4"/>
    <sheet name="KPI_Summary" sheetId="5" r:id="rId5"/>
    <sheet name="Monthly_Analysis" sheetId="6" r:id="rId6"/>
    <sheet name="Category_Analysis" sheetId="7" r:id="rId7"/>
    <sheet name="City_Analysis" sheetId="8" r:id="rId8"/>
    <sheet name="Payment_Analysis" sheetId="9" r:id="rId9"/>
    <sheet name="Company_Analysis" sheetId="10" r:id="rId10"/>
    <sheet name="Department_Analysis" sheetId="11" r:id="rId11"/>
    <sheet name="Status_Analysis" sheetId="12" r:id="rId12"/>
    <sheet name="README" sheetId="13" r:id="rId13"/>
  </sheets>
  <definedNames>
    <definedName name="_xlnm._FilterDatabase" localSheetId="6" hidden="1">Category_Analysis!$A$1:$F$11</definedName>
    <definedName name="_xlnm._FilterDatabase" localSheetId="7" hidden="1">City_Analysis!$A$1:$F$6</definedName>
    <definedName name="_xlnm._FilterDatabase" localSheetId="1" hidden="1">Cleaned_Data!$A$1:$P$21</definedName>
    <definedName name="_xlnm._FilterDatabase" localSheetId="9" hidden="1">Company_Analysis!$A$1:$F$2</definedName>
    <definedName name="_xlnm._FilterDatabase" localSheetId="10" hidden="1">Department_Analysis!$A$1:$F$8</definedName>
    <definedName name="_xlnm._FilterDatabase" localSheetId="4" hidden="1">KPI_Summary!$A$1:$J$2</definedName>
    <definedName name="_xlnm._FilterDatabase" localSheetId="5" hidden="1">Monthly_Analysis!$A$1:$F$6</definedName>
    <definedName name="_xlnm._FilterDatabase" localSheetId="8" hidden="1">Payment_Analysis!$A$1:$F$4</definedName>
    <definedName name="_xlnm._FilterDatabase" localSheetId="3" hidden="1">Prediction_vs_Actual!$A$1:$F$1</definedName>
    <definedName name="_xlnm._FilterDatabase" localSheetId="2" hidden="1">Predictions!$A$1:$F$1</definedName>
    <definedName name="_xlnm._FilterDatabase" localSheetId="12" hidden="1">README!$A$1:$B$13</definedName>
    <definedName name="_xlnm._FilterDatabase" localSheetId="11" hidden="1">Status_Analysis!$A$1:$F$3</definedName>
  </definedNames>
  <calcPr calcId="0"/>
  <fileRecoveryPr repairLoad="1"/>
</workbook>
</file>

<file path=xl/sharedStrings.xml><?xml version="1.0" encoding="utf-8"?>
<sst xmlns="http://schemas.openxmlformats.org/spreadsheetml/2006/main" count="326" uniqueCount="136">
  <si>
    <t>FinSight AI | kimi llc</t>
  </si>
  <si>
    <t>Financial overview generated from your exported data</t>
  </si>
  <si>
    <t>Total Revenue</t>
  </si>
  <si>
    <t>Total Expenses</t>
  </si>
  <si>
    <t>Total Profit</t>
  </si>
  <si>
    <t>Transactions</t>
  </si>
  <si>
    <t>Date</t>
  </si>
  <si>
    <t>Transaction_ID</t>
  </si>
  <si>
    <t>Description</t>
  </si>
  <si>
    <t>Amount</t>
  </si>
  <si>
    <t>Revenue</t>
  </si>
  <si>
    <t>Expenses</t>
  </si>
  <si>
    <t>Profit</t>
  </si>
  <si>
    <t>Transaction_Type</t>
  </si>
  <si>
    <t>Category</t>
  </si>
  <si>
    <t>Payment_Method</t>
  </si>
  <si>
    <t>Department</t>
  </si>
  <si>
    <t>City</t>
  </si>
  <si>
    <t>Status</t>
  </si>
  <si>
    <t>Upload_File_ID</t>
  </si>
  <si>
    <t>Imported_At</t>
  </si>
  <si>
    <t>Company</t>
  </si>
  <si>
    <t>TRX001</t>
  </si>
  <si>
    <t>Software Subscription</t>
  </si>
  <si>
    <t>Income</t>
  </si>
  <si>
    <t>Technology</t>
  </si>
  <si>
    <t>Bank Transfer</t>
  </si>
  <si>
    <t>IT</t>
  </si>
  <si>
    <t>Prishtina</t>
  </si>
  <si>
    <t>Completed</t>
  </si>
  <si>
    <t>kimi llc</t>
  </si>
  <si>
    <t>TRX002</t>
  </si>
  <si>
    <t>Office Equipment</t>
  </si>
  <si>
    <t>Expense</t>
  </si>
  <si>
    <t>Equipment</t>
  </si>
  <si>
    <t>Credit Card</t>
  </si>
  <si>
    <t>Operations</t>
  </si>
  <si>
    <t>Gjilan</t>
  </si>
  <si>
    <t>TRX003</t>
  </si>
  <si>
    <t>Marketing Campaign</t>
  </si>
  <si>
    <t>Marketing</t>
  </si>
  <si>
    <t>Prizren</t>
  </si>
  <si>
    <t>TRX004</t>
  </si>
  <si>
    <t>Client Payment</t>
  </si>
  <si>
    <t>Sales</t>
  </si>
  <si>
    <t>Ferizaj</t>
  </si>
  <si>
    <t>TRX005</t>
  </si>
  <si>
    <t>Travel Expenses</t>
  </si>
  <si>
    <t>Travel</t>
  </si>
  <si>
    <t>Cash</t>
  </si>
  <si>
    <t>Management</t>
  </si>
  <si>
    <t>Peja</t>
  </si>
  <si>
    <t>Pending</t>
  </si>
  <si>
    <t>TRX006</t>
  </si>
  <si>
    <t>Web Development</t>
  </si>
  <si>
    <t>Services</t>
  </si>
  <si>
    <t>TRX007</t>
  </si>
  <si>
    <t>Office Rent</t>
  </si>
  <si>
    <t>TRX008</t>
  </si>
  <si>
    <t>Product Sales</t>
  </si>
  <si>
    <t>TRX009</t>
  </si>
  <si>
    <t>Advertising</t>
  </si>
  <si>
    <t>TRX010</t>
  </si>
  <si>
    <t>Consulting Service</t>
  </si>
  <si>
    <t>Consulting</t>
  </si>
  <si>
    <t>TRX011</t>
  </si>
  <si>
    <t>Cloud Hosting</t>
  </si>
  <si>
    <t>TRX012</t>
  </si>
  <si>
    <t>Equipment Sale</t>
  </si>
  <si>
    <t>TRX013</t>
  </si>
  <si>
    <t>Employee Training</t>
  </si>
  <si>
    <t>Training</t>
  </si>
  <si>
    <t>HR</t>
  </si>
  <si>
    <t>TRX014</t>
  </si>
  <si>
    <t>Annual Contract</t>
  </si>
  <si>
    <t>Contracts</t>
  </si>
  <si>
    <t>TRX015</t>
  </si>
  <si>
    <t>Office Supplies</t>
  </si>
  <si>
    <t>TRX016</t>
  </si>
  <si>
    <t>Mobile App Project</t>
  </si>
  <si>
    <t>TRX017</t>
  </si>
  <si>
    <t>Social Media Ads</t>
  </si>
  <si>
    <t>TRX018</t>
  </si>
  <si>
    <t>Customer Subscription</t>
  </si>
  <si>
    <t>TRX019</t>
  </si>
  <si>
    <t>Server Upgrade</t>
  </si>
  <si>
    <t>TRX020</t>
  </si>
  <si>
    <t>Business Consulting</t>
  </si>
  <si>
    <t>Prediction_ID</t>
  </si>
  <si>
    <t>Prediction_Type</t>
  </si>
  <si>
    <t>Prediction_Date</t>
  </si>
  <si>
    <t>Predicted_Value</t>
  </si>
  <si>
    <t>Model</t>
  </si>
  <si>
    <t>Created_At</t>
  </si>
  <si>
    <t>Actual</t>
  </si>
  <si>
    <t>Predicted</t>
  </si>
  <si>
    <t>Difference</t>
  </si>
  <si>
    <t>Exported_At</t>
  </si>
  <si>
    <t>Cleaned_Rows</t>
  </si>
  <si>
    <t>Predictions</t>
  </si>
  <si>
    <t>Total_Amount</t>
  </si>
  <si>
    <t>Total_Revenue</t>
  </si>
  <si>
    <t>Total_Expenses</t>
  </si>
  <si>
    <t>Total_Profit</t>
  </si>
  <si>
    <t>First_Date</t>
  </si>
  <si>
    <t>Last_Date</t>
  </si>
  <si>
    <t>Month</t>
  </si>
  <si>
    <t>2026-01</t>
  </si>
  <si>
    <t>2026-02</t>
  </si>
  <si>
    <t>2026-03</t>
  </si>
  <si>
    <t>2026-04</t>
  </si>
  <si>
    <t>2026-05</t>
  </si>
  <si>
    <t>Sheet</t>
  </si>
  <si>
    <t>Dashboard</t>
  </si>
  <si>
    <t>Automatic KPI cards and Excel charts for the exported company data.</t>
  </si>
  <si>
    <t>Cleaned_Data</t>
  </si>
  <si>
    <t>Validated, de-duplicated financial rows owned by this user.</t>
  </si>
  <si>
    <t>Predictions created by this user.</t>
  </si>
  <si>
    <t>Prediction_vs_Actual</t>
  </si>
  <si>
    <t>Prediction dates matched to same-day actual totals where available.</t>
  </si>
  <si>
    <t>KPI_Summary</t>
  </si>
  <si>
    <t>Current totals and export metadata.</t>
  </si>
  <si>
    <t>Monthly_Analysis</t>
  </si>
  <si>
    <t>Monthly revenue, expenses, profit, amount and transaction count.</t>
  </si>
  <si>
    <t>Category_Analysis</t>
  </si>
  <si>
    <t>Financial totals and transaction count by category.</t>
  </si>
  <si>
    <t>City_Analysis</t>
  </si>
  <si>
    <t>Transactions and financial totals grouped by city.</t>
  </si>
  <si>
    <t>Payment_Analysis</t>
  </si>
  <si>
    <t>Transactions and financial totals grouped by payment method.</t>
  </si>
  <si>
    <t>Company_Analysis</t>
  </si>
  <si>
    <t>Transactions and financial totals grouped by company when available.</t>
  </si>
  <si>
    <t>Department_Analysis</t>
  </si>
  <si>
    <t>Transactions and financial totals grouped by department when available.</t>
  </si>
  <si>
    <t>Status_Analysis</t>
  </si>
  <si>
    <t>Transactions and financial totals grouped by status when available.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</si>
</sst>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6" formatCode="yyyy\-mm\-dd\ hh:mm:ss"/>
  </numFmts>
  <fonts count="5" x14ac:knownFonts="1">
    <font>
      <sz val="11"/>
      <color theme="1"/>
      <name val="Calibri"/>
      <family val="2"/>
      <scheme val="minor"/>
    </font>
    <font>
      <b/>
      <sz val="20"/>
      <color rgb="FFFFFFFF"/>
      <name val="Calibri"/>
    </font>
    <font>
      <i/>
      <sz val="11"/>
      <color rgb="FF5B6B7A"/>
      <name val="Calibri"/>
    </font>
    <font>
      <b/>
      <sz val="11"/>
      <color rgb="FFFFFFFF"/>
      <name val="Calibri"/>
    </font>
    <font>
      <b/>
      <sz val="16"/>
      <color rgb="FF17324D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287D8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166" fontId="0" fillId="0" borderId="0" xfId="0" applyNumberFormat="1"/>
    <xf numFmtId="0" fontId="3" fillId="3" borderId="0" xfId="0" applyFont="1" applyFill="1"/>
    <xf numFmtId="0" fontId="0" fillId="0" borderId="0" xfId="0"/>
    <xf numFmtId="4" fontId="4" fillId="0" borderId="0" xfId="0" applyNumberFormat="1" applyFont="1"/>
    <xf numFmtId="0" fontId="2" fillId="0" borderId="0" xfId="0" applyFont="1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Monthly Revenue, Expenses and Profit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Monthly_Analysis!$C$1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Monthly_Analysis!$A$2:$A$6</c:f>
              <c:strCache>
                <c:ptCount val="5"/>
                <c:pt idx="0">
                  <c:v>2026-01</c:v>
                </c:pt>
                <c:pt idx="1">
                  <c:v>2026-02</c:v>
                </c:pt>
                <c:pt idx="2">
                  <c:v>2026-03</c:v>
                </c:pt>
                <c:pt idx="3">
                  <c:v>2026-04</c:v>
                </c:pt>
                <c:pt idx="4">
                  <c:v>2026-05</c:v>
                </c:pt>
              </c:strCache>
            </c:strRef>
          </c:cat>
          <c:val>
            <c:numRef>
              <c:f>Monthly_Analysis!$C$2:$C$6</c:f>
              <c:numCache>
                <c:formatCode>General</c:formatCode>
                <c:ptCount val="5"/>
                <c:pt idx="0">
                  <c:v>67200</c:v>
                </c:pt>
                <c:pt idx="1">
                  <c:v>61700</c:v>
                </c:pt>
                <c:pt idx="2">
                  <c:v>70200</c:v>
                </c:pt>
                <c:pt idx="3">
                  <c:v>78100</c:v>
                </c:pt>
                <c:pt idx="4">
                  <c:v>64500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7E4-4828-ACA8-6C96C93690C0}"/>
            </c:ext>
          </c:extLst>
        </c:ser>
        <c:ser>
          <c:idx val="1"/>
          <c:order val="1"/>
          <c:tx>
            <c:strRef>
              <c:f>Monthly_Analysis!$D$1</c:f>
              <c:strCache>
                <c:ptCount val="1"/>
                <c:pt idx="0">
                  <c:v>Expenses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Monthly_Analysis!$A$2:$A$6</c:f>
              <c:strCache>
                <c:ptCount val="5"/>
                <c:pt idx="0">
                  <c:v>2026-01</c:v>
                </c:pt>
                <c:pt idx="1">
                  <c:v>2026-02</c:v>
                </c:pt>
                <c:pt idx="2">
                  <c:v>2026-03</c:v>
                </c:pt>
                <c:pt idx="3">
                  <c:v>2026-04</c:v>
                </c:pt>
                <c:pt idx="4">
                  <c:v>2026-05</c:v>
                </c:pt>
              </c:strCache>
            </c:strRef>
          </c:cat>
          <c:val>
            <c:numRef>
              <c:f>Monthly_Analysis!$D$2:$D$6</c:f>
              <c:numCache>
                <c:formatCode>General</c:formatCode>
                <c:ptCount val="5"/>
                <c:pt idx="0">
                  <c:v>22400</c:v>
                </c:pt>
                <c:pt idx="1">
                  <c:v>22100</c:v>
                </c:pt>
                <c:pt idx="2">
                  <c:v>23600</c:v>
                </c:pt>
                <c:pt idx="3">
                  <c:v>25300</c:v>
                </c:pt>
                <c:pt idx="4">
                  <c:v>21800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7E4-4828-ACA8-6C96C93690C0}"/>
            </c:ext>
          </c:extLst>
        </c:ser>
        <c:ser>
          <c:idx val="2"/>
          <c:order val="2"/>
          <c:tx>
            <c:strRef>
              <c:f>Monthly_Analysis!$E$1</c:f>
              <c:strCache>
                <c:ptCount val="1"/>
                <c:pt idx="0">
                  <c:v>Profit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Monthly_Analysis!$A$2:$A$6</c:f>
              <c:strCache>
                <c:ptCount val="5"/>
                <c:pt idx="0">
                  <c:v>2026-01</c:v>
                </c:pt>
                <c:pt idx="1">
                  <c:v>2026-02</c:v>
                </c:pt>
                <c:pt idx="2">
                  <c:v>2026-03</c:v>
                </c:pt>
                <c:pt idx="3">
                  <c:v>2026-04</c:v>
                </c:pt>
                <c:pt idx="4">
                  <c:v>2026-05</c:v>
                </c:pt>
              </c:strCache>
            </c:strRef>
          </c:cat>
          <c:val>
            <c:numRef>
              <c:f>Monthly_Analysis!$E$2:$E$6</c:f>
              <c:numCache>
                <c:formatCode>General</c:formatCode>
                <c:ptCount val="5"/>
                <c:pt idx="0">
                  <c:v>44800</c:v>
                </c:pt>
                <c:pt idx="1">
                  <c:v>39600</c:v>
                </c:pt>
                <c:pt idx="2">
                  <c:v>46600</c:v>
                </c:pt>
                <c:pt idx="3">
                  <c:v>52800</c:v>
                </c:pt>
                <c:pt idx="4">
                  <c:v>42700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B7E4-4828-ACA8-6C96C93690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Value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Revenue by Category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Category_Analysis!$C$1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Category_Analysis!$A$2:$A$11</c:f>
              <c:strCache>
                <c:ptCount val="10"/>
                <c:pt idx="0">
                  <c:v>Technology</c:v>
                </c:pt>
                <c:pt idx="1">
                  <c:v>Services</c:v>
                </c:pt>
                <c:pt idx="2">
                  <c:v>Sales</c:v>
                </c:pt>
                <c:pt idx="3">
                  <c:v>Marketing</c:v>
                </c:pt>
                <c:pt idx="4">
                  <c:v>Contracts</c:v>
                </c:pt>
                <c:pt idx="5">
                  <c:v>Consulting</c:v>
                </c:pt>
                <c:pt idx="6">
                  <c:v>Operations</c:v>
                </c:pt>
                <c:pt idx="7">
                  <c:v>Training</c:v>
                </c:pt>
                <c:pt idx="8">
                  <c:v>Travel</c:v>
                </c:pt>
                <c:pt idx="9">
                  <c:v>Equipment</c:v>
                </c:pt>
              </c:strCache>
            </c:strRef>
          </c:cat>
          <c:val>
            <c:numRef>
              <c:f>Category_Analysis!$C$2:$C$11</c:f>
              <c:numCache>
                <c:formatCode>General</c:formatCode>
                <c:ptCount val="10"/>
                <c:pt idx="0">
                  <c:v>66700</c:v>
                </c:pt>
                <c:pt idx="1">
                  <c:v>66500</c:v>
                </c:pt>
                <c:pt idx="2">
                  <c:v>54700</c:v>
                </c:pt>
                <c:pt idx="3">
                  <c:v>45300</c:v>
                </c:pt>
                <c:pt idx="4">
                  <c:v>28900</c:v>
                </c:pt>
                <c:pt idx="5">
                  <c:v>26700</c:v>
                </c:pt>
                <c:pt idx="6">
                  <c:v>19700</c:v>
                </c:pt>
                <c:pt idx="7">
                  <c:v>12100</c:v>
                </c:pt>
                <c:pt idx="8">
                  <c:v>11300</c:v>
                </c:pt>
                <c:pt idx="9">
                  <c:v>9800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10-4835-A47B-6855468FE0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Revenue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Transactions by Category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Category_Analysis!$F$1</c:f>
              <c:strCache>
                <c:ptCount val="1"/>
                <c:pt idx="0">
                  <c:v>Transactions</c:v>
                </c:pt>
              </c:strCache>
            </c:strRef>
          </c:tx>
          <c:spPr>
            <a:ln>
              <a:prstDash val="solid"/>
            </a:ln>
          </c:spPr>
          <c:cat>
            <c:strRef>
              <c:f>Category_Analysis!$A$2:$A$11</c:f>
              <c:strCache>
                <c:ptCount val="10"/>
                <c:pt idx="0">
                  <c:v>Technology</c:v>
                </c:pt>
                <c:pt idx="1">
                  <c:v>Services</c:v>
                </c:pt>
                <c:pt idx="2">
                  <c:v>Sales</c:v>
                </c:pt>
                <c:pt idx="3">
                  <c:v>Marketing</c:v>
                </c:pt>
                <c:pt idx="4">
                  <c:v>Contracts</c:v>
                </c:pt>
                <c:pt idx="5">
                  <c:v>Consulting</c:v>
                </c:pt>
                <c:pt idx="6">
                  <c:v>Operations</c:v>
                </c:pt>
                <c:pt idx="7">
                  <c:v>Training</c:v>
                </c:pt>
                <c:pt idx="8">
                  <c:v>Travel</c:v>
                </c:pt>
                <c:pt idx="9">
                  <c:v>Equipment</c:v>
                </c:pt>
              </c:strCache>
            </c:strRef>
          </c:cat>
          <c:val>
            <c:numRef>
              <c:f>Category_Analysis!$F$2:$F$11</c:f>
              <c:numCache>
                <c:formatCode>General</c:formatCode>
                <c:ptCount val="10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53-43B7-A901-4C6B8AFF11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7</xdr:row>
      <xdr:rowOff>0</xdr:rowOff>
    </xdr:from>
    <xdr:ext cx="540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7</xdr:row>
      <xdr:rowOff>0</xdr:rowOff>
    </xdr:from>
    <xdr:ext cx="540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24</xdr:row>
      <xdr:rowOff>0</xdr:rowOff>
    </xdr:from>
    <xdr:ext cx="5400000" cy="288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"/>
  <sheetViews>
    <sheetView showGridLines="0" workbookViewId="0">
      <pane ySplit="3" topLeftCell="A15" activePane="bottomLeft" state="frozen"/>
      <selection pane="bottomLeft"/>
    </sheetView>
  </sheetViews>
  <sheetFormatPr defaultRowHeight="14.4" x14ac:dyDescent="0.3"/>
  <cols>
    <col min="1" max="14" width="14" customWidth="1"/>
  </cols>
  <sheetData>
    <row r="1" spans="1:14" ht="34.049999999999997" customHeight="1" x14ac:dyDescent="0.3">
      <c r="A1" s="7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x14ac:dyDescent="0.3">
      <c r="A2" s="6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4" spans="1:14" x14ac:dyDescent="0.3">
      <c r="A4" s="3" t="s">
        <v>2</v>
      </c>
      <c r="B4" s="4"/>
      <c r="D4" s="3" t="s">
        <v>3</v>
      </c>
      <c r="E4" s="4"/>
      <c r="G4" s="3" t="s">
        <v>4</v>
      </c>
      <c r="H4" s="4"/>
      <c r="J4" s="3" t="s">
        <v>5</v>
      </c>
      <c r="K4" s="4"/>
    </row>
    <row r="5" spans="1:14" ht="21" x14ac:dyDescent="0.4">
      <c r="A5" s="5">
        <v>341700</v>
      </c>
      <c r="B5" s="4"/>
      <c r="D5" s="5">
        <v>115200</v>
      </c>
      <c r="E5" s="4"/>
      <c r="G5" s="5">
        <v>226500</v>
      </c>
      <c r="H5" s="4"/>
      <c r="J5" s="5">
        <v>20</v>
      </c>
      <c r="K5" s="4"/>
    </row>
  </sheetData>
  <mergeCells count="10">
    <mergeCell ref="A1:N1"/>
    <mergeCell ref="A4:B4"/>
    <mergeCell ref="G4:H4"/>
    <mergeCell ref="J4:K4"/>
    <mergeCell ref="J5:K5"/>
    <mergeCell ref="A2:N2"/>
    <mergeCell ref="D5:E5"/>
    <mergeCell ref="A5:B5"/>
    <mergeCell ref="G5:H5"/>
    <mergeCell ref="D4:E4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1"/>
  <sheetViews>
    <sheetView tabSelected="1" topLeftCell="C1" workbookViewId="0">
      <pane ySplit="1" topLeftCell="A2" activePane="bottomLeft" state="frozen"/>
      <selection pane="bottomLeft" activeCell="A2" sqref="A2:P21"/>
    </sheetView>
  </sheetViews>
  <sheetFormatPr defaultRowHeight="14.4" x14ac:dyDescent="0.3"/>
  <cols>
    <col min="1" max="1" width="12" customWidth="1"/>
    <col min="2" max="2" width="16" customWidth="1"/>
    <col min="3" max="3" width="23" customWidth="1"/>
    <col min="4" max="4" width="8" customWidth="1"/>
    <col min="5" max="5" width="9" customWidth="1"/>
    <col min="6" max="6" width="10" customWidth="1"/>
    <col min="7" max="7" width="9" customWidth="1"/>
    <col min="8" max="8" width="18" customWidth="1"/>
    <col min="9" max="9" width="12" customWidth="1"/>
    <col min="10" max="10" width="16" customWidth="1"/>
    <col min="11" max="11" width="12" customWidth="1"/>
    <col min="12" max="13" width="11" customWidth="1"/>
    <col min="14" max="14" width="16" customWidth="1"/>
    <col min="15" max="15" width="21" customWidth="1"/>
    <col min="16" max="16" width="10" customWidth="1"/>
  </cols>
  <sheetData>
    <row r="1" spans="1:16" x14ac:dyDescent="0.3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</row>
    <row r="2" spans="1:16" x14ac:dyDescent="0.3">
      <c r="A2" s="1">
        <v>46027</v>
      </c>
      <c r="B2" t="s">
        <v>22</v>
      </c>
      <c r="C2" t="s">
        <v>23</v>
      </c>
      <c r="D2">
        <v>850</v>
      </c>
      <c r="E2">
        <v>12500</v>
      </c>
      <c r="F2">
        <v>4200</v>
      </c>
      <c r="G2">
        <v>8300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>
        <v>7</v>
      </c>
      <c r="O2" s="2">
        <v>46253.683506944442</v>
      </c>
      <c r="P2" t="s">
        <v>30</v>
      </c>
    </row>
    <row r="3" spans="1:16" x14ac:dyDescent="0.3">
      <c r="A3" s="1">
        <v>46030</v>
      </c>
      <c r="B3" t="s">
        <v>31</v>
      </c>
      <c r="C3" t="s">
        <v>32</v>
      </c>
      <c r="D3">
        <v>1450</v>
      </c>
      <c r="E3">
        <v>9800</v>
      </c>
      <c r="F3">
        <v>3100</v>
      </c>
      <c r="G3">
        <v>6700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29</v>
      </c>
      <c r="N3">
        <v>7</v>
      </c>
      <c r="O3" s="2">
        <v>46253.683506944442</v>
      </c>
      <c r="P3" t="s">
        <v>30</v>
      </c>
    </row>
    <row r="4" spans="1:16" x14ac:dyDescent="0.3">
      <c r="A4" s="1">
        <v>46034</v>
      </c>
      <c r="B4" t="s">
        <v>38</v>
      </c>
      <c r="C4" t="s">
        <v>39</v>
      </c>
      <c r="D4">
        <v>2300</v>
      </c>
      <c r="E4">
        <v>15400</v>
      </c>
      <c r="F4">
        <v>5200</v>
      </c>
      <c r="G4">
        <v>10200</v>
      </c>
      <c r="H4" t="s">
        <v>33</v>
      </c>
      <c r="I4" t="s">
        <v>40</v>
      </c>
      <c r="J4" t="s">
        <v>26</v>
      </c>
      <c r="K4" t="s">
        <v>40</v>
      </c>
      <c r="L4" t="s">
        <v>41</v>
      </c>
      <c r="M4" t="s">
        <v>29</v>
      </c>
      <c r="N4">
        <v>7</v>
      </c>
      <c r="O4" s="2">
        <v>46253.683506944442</v>
      </c>
      <c r="P4" t="s">
        <v>30</v>
      </c>
    </row>
    <row r="5" spans="1:16" x14ac:dyDescent="0.3">
      <c r="A5" s="1">
        <v>46040</v>
      </c>
      <c r="B5" t="s">
        <v>42</v>
      </c>
      <c r="C5" t="s">
        <v>43</v>
      </c>
      <c r="D5">
        <v>3200</v>
      </c>
      <c r="E5">
        <v>18200</v>
      </c>
      <c r="F5">
        <v>6100</v>
      </c>
      <c r="G5">
        <v>12100</v>
      </c>
      <c r="H5" t="s">
        <v>24</v>
      </c>
      <c r="I5" t="s">
        <v>44</v>
      </c>
      <c r="J5" t="s">
        <v>26</v>
      </c>
      <c r="K5" t="s">
        <v>44</v>
      </c>
      <c r="L5" t="s">
        <v>45</v>
      </c>
      <c r="M5" t="s">
        <v>29</v>
      </c>
      <c r="N5">
        <v>7</v>
      </c>
      <c r="O5" s="2">
        <v>46253.683506944442</v>
      </c>
      <c r="P5" t="s">
        <v>30</v>
      </c>
    </row>
    <row r="6" spans="1:16" x14ac:dyDescent="0.3">
      <c r="A6" s="1">
        <v>46045</v>
      </c>
      <c r="B6" t="s">
        <v>46</v>
      </c>
      <c r="C6" t="s">
        <v>47</v>
      </c>
      <c r="D6">
        <v>780</v>
      </c>
      <c r="E6">
        <v>11300</v>
      </c>
      <c r="F6">
        <v>3800</v>
      </c>
      <c r="G6">
        <v>7500</v>
      </c>
      <c r="H6" t="s">
        <v>33</v>
      </c>
      <c r="I6" t="s">
        <v>48</v>
      </c>
      <c r="J6" t="s">
        <v>49</v>
      </c>
      <c r="K6" t="s">
        <v>50</v>
      </c>
      <c r="L6" t="s">
        <v>51</v>
      </c>
      <c r="M6" t="s">
        <v>52</v>
      </c>
      <c r="N6">
        <v>7</v>
      </c>
      <c r="O6" s="2">
        <v>46253.683506944442</v>
      </c>
      <c r="P6" t="s">
        <v>30</v>
      </c>
    </row>
    <row r="7" spans="1:16" x14ac:dyDescent="0.3">
      <c r="A7" s="1">
        <v>46055</v>
      </c>
      <c r="B7" t="s">
        <v>53</v>
      </c>
      <c r="C7" t="s">
        <v>54</v>
      </c>
      <c r="D7">
        <v>4100</v>
      </c>
      <c r="E7">
        <v>21500</v>
      </c>
      <c r="F7">
        <v>7200</v>
      </c>
      <c r="G7">
        <v>14300</v>
      </c>
      <c r="H7" t="s">
        <v>24</v>
      </c>
      <c r="I7" t="s">
        <v>55</v>
      </c>
      <c r="J7" t="s">
        <v>26</v>
      </c>
      <c r="K7" t="s">
        <v>27</v>
      </c>
      <c r="L7" t="s">
        <v>28</v>
      </c>
      <c r="M7" t="s">
        <v>29</v>
      </c>
      <c r="N7">
        <v>7</v>
      </c>
      <c r="O7" s="2">
        <v>46253.683506944442</v>
      </c>
      <c r="P7" t="s">
        <v>30</v>
      </c>
    </row>
    <row r="8" spans="1:16" x14ac:dyDescent="0.3">
      <c r="A8" s="1">
        <v>46060</v>
      </c>
      <c r="B8" t="s">
        <v>56</v>
      </c>
      <c r="C8" t="s">
        <v>57</v>
      </c>
      <c r="D8">
        <v>1800</v>
      </c>
      <c r="E8">
        <v>9200</v>
      </c>
      <c r="F8">
        <v>4600</v>
      </c>
      <c r="G8">
        <v>4600</v>
      </c>
      <c r="H8" t="s">
        <v>33</v>
      </c>
      <c r="I8" t="s">
        <v>36</v>
      </c>
      <c r="J8" t="s">
        <v>26</v>
      </c>
      <c r="K8" t="s">
        <v>36</v>
      </c>
      <c r="L8" t="s">
        <v>37</v>
      </c>
      <c r="M8" t="s">
        <v>29</v>
      </c>
      <c r="N8">
        <v>7</v>
      </c>
      <c r="O8" s="2">
        <v>46253.683506944442</v>
      </c>
      <c r="P8" t="s">
        <v>30</v>
      </c>
    </row>
    <row r="9" spans="1:16" x14ac:dyDescent="0.3">
      <c r="A9" s="1">
        <v>46067</v>
      </c>
      <c r="B9" t="s">
        <v>58</v>
      </c>
      <c r="C9" t="s">
        <v>59</v>
      </c>
      <c r="D9">
        <v>2750</v>
      </c>
      <c r="E9">
        <v>16700</v>
      </c>
      <c r="F9">
        <v>5400</v>
      </c>
      <c r="G9">
        <v>11300</v>
      </c>
      <c r="H9" t="s">
        <v>24</v>
      </c>
      <c r="I9" t="s">
        <v>44</v>
      </c>
      <c r="J9" t="s">
        <v>35</v>
      </c>
      <c r="K9" t="s">
        <v>44</v>
      </c>
      <c r="L9" t="s">
        <v>41</v>
      </c>
      <c r="M9" t="s">
        <v>29</v>
      </c>
      <c r="N9">
        <v>7</v>
      </c>
      <c r="O9" s="2">
        <v>46253.683506944442</v>
      </c>
      <c r="P9" t="s">
        <v>30</v>
      </c>
    </row>
    <row r="10" spans="1:16" x14ac:dyDescent="0.3">
      <c r="A10" s="1">
        <v>46074</v>
      </c>
      <c r="B10" t="s">
        <v>60</v>
      </c>
      <c r="C10" t="s">
        <v>61</v>
      </c>
      <c r="D10">
        <v>1950</v>
      </c>
      <c r="E10">
        <v>14300</v>
      </c>
      <c r="F10">
        <v>4900</v>
      </c>
      <c r="G10">
        <v>9400</v>
      </c>
      <c r="H10" t="s">
        <v>33</v>
      </c>
      <c r="I10" t="s">
        <v>40</v>
      </c>
      <c r="J10" t="s">
        <v>35</v>
      </c>
      <c r="K10" t="s">
        <v>40</v>
      </c>
      <c r="L10" t="s">
        <v>45</v>
      </c>
      <c r="M10" t="s">
        <v>29</v>
      </c>
      <c r="N10">
        <v>7</v>
      </c>
      <c r="O10" s="2">
        <v>46253.683506944442</v>
      </c>
      <c r="P10" t="s">
        <v>30</v>
      </c>
    </row>
    <row r="11" spans="1:16" x14ac:dyDescent="0.3">
      <c r="A11" s="1">
        <v>46084</v>
      </c>
      <c r="B11" t="s">
        <v>62</v>
      </c>
      <c r="C11" t="s">
        <v>63</v>
      </c>
      <c r="D11">
        <v>5200</v>
      </c>
      <c r="E11">
        <v>24600</v>
      </c>
      <c r="F11">
        <v>8300</v>
      </c>
      <c r="G11">
        <v>16300</v>
      </c>
      <c r="H11" t="s">
        <v>24</v>
      </c>
      <c r="I11" t="s">
        <v>55</v>
      </c>
      <c r="J11" t="s">
        <v>26</v>
      </c>
      <c r="K11" t="s">
        <v>64</v>
      </c>
      <c r="L11" t="s">
        <v>28</v>
      </c>
      <c r="M11" t="s">
        <v>29</v>
      </c>
      <c r="N11">
        <v>7</v>
      </c>
      <c r="O11" s="2">
        <v>46253.683506944442</v>
      </c>
      <c r="P11" t="s">
        <v>30</v>
      </c>
    </row>
    <row r="12" spans="1:16" x14ac:dyDescent="0.3">
      <c r="A12" s="1">
        <v>46090</v>
      </c>
      <c r="B12" t="s">
        <v>65</v>
      </c>
      <c r="C12" t="s">
        <v>66</v>
      </c>
      <c r="D12">
        <v>1250</v>
      </c>
      <c r="E12">
        <v>13700</v>
      </c>
      <c r="F12">
        <v>4500</v>
      </c>
      <c r="G12">
        <v>9200</v>
      </c>
      <c r="H12" t="s">
        <v>33</v>
      </c>
      <c r="I12" t="s">
        <v>25</v>
      </c>
      <c r="J12" t="s">
        <v>35</v>
      </c>
      <c r="K12" t="s">
        <v>27</v>
      </c>
      <c r="L12" t="s">
        <v>51</v>
      </c>
      <c r="M12" t="s">
        <v>29</v>
      </c>
      <c r="N12">
        <v>7</v>
      </c>
      <c r="O12" s="2">
        <v>46253.683506944442</v>
      </c>
      <c r="P12" t="s">
        <v>30</v>
      </c>
    </row>
    <row r="13" spans="1:16" x14ac:dyDescent="0.3">
      <c r="A13" s="1">
        <v>46097</v>
      </c>
      <c r="B13" t="s">
        <v>67</v>
      </c>
      <c r="C13" t="s">
        <v>68</v>
      </c>
      <c r="D13">
        <v>3600</v>
      </c>
      <c r="E13">
        <v>19800</v>
      </c>
      <c r="F13">
        <v>6700</v>
      </c>
      <c r="G13">
        <v>13100</v>
      </c>
      <c r="H13" t="s">
        <v>24</v>
      </c>
      <c r="I13" t="s">
        <v>44</v>
      </c>
      <c r="J13" t="s">
        <v>26</v>
      </c>
      <c r="K13" t="s">
        <v>44</v>
      </c>
      <c r="L13" t="s">
        <v>37</v>
      </c>
      <c r="M13" t="s">
        <v>29</v>
      </c>
      <c r="N13">
        <v>7</v>
      </c>
      <c r="O13" s="2">
        <v>46253.683506944442</v>
      </c>
      <c r="P13" t="s">
        <v>30</v>
      </c>
    </row>
    <row r="14" spans="1:16" x14ac:dyDescent="0.3">
      <c r="A14" s="1">
        <v>46105</v>
      </c>
      <c r="B14" t="s">
        <v>69</v>
      </c>
      <c r="C14" t="s">
        <v>70</v>
      </c>
      <c r="D14">
        <v>920</v>
      </c>
      <c r="E14">
        <v>12100</v>
      </c>
      <c r="F14">
        <v>4100</v>
      </c>
      <c r="G14">
        <v>8000</v>
      </c>
      <c r="H14" t="s">
        <v>33</v>
      </c>
      <c r="I14" t="s">
        <v>71</v>
      </c>
      <c r="J14" t="s">
        <v>49</v>
      </c>
      <c r="K14" t="s">
        <v>72</v>
      </c>
      <c r="L14" t="s">
        <v>41</v>
      </c>
      <c r="M14" t="s">
        <v>52</v>
      </c>
      <c r="N14">
        <v>7</v>
      </c>
      <c r="O14" s="2">
        <v>46253.683506944442</v>
      </c>
      <c r="P14" t="s">
        <v>30</v>
      </c>
    </row>
    <row r="15" spans="1:16" x14ac:dyDescent="0.3">
      <c r="A15" s="1">
        <v>46116</v>
      </c>
      <c r="B15" t="s">
        <v>73</v>
      </c>
      <c r="C15" t="s">
        <v>74</v>
      </c>
      <c r="D15">
        <v>6100</v>
      </c>
      <c r="E15">
        <v>28900</v>
      </c>
      <c r="F15">
        <v>9100</v>
      </c>
      <c r="G15">
        <v>19800</v>
      </c>
      <c r="H15" t="s">
        <v>24</v>
      </c>
      <c r="I15" t="s">
        <v>75</v>
      </c>
      <c r="J15" t="s">
        <v>26</v>
      </c>
      <c r="K15" t="s">
        <v>44</v>
      </c>
      <c r="L15" t="s">
        <v>45</v>
      </c>
      <c r="M15" t="s">
        <v>29</v>
      </c>
      <c r="N15">
        <v>7</v>
      </c>
      <c r="O15" s="2">
        <v>46253.683506944442</v>
      </c>
      <c r="P15" t="s">
        <v>30</v>
      </c>
    </row>
    <row r="16" spans="1:16" x14ac:dyDescent="0.3">
      <c r="A16" s="1">
        <v>46123</v>
      </c>
      <c r="B16" t="s">
        <v>76</v>
      </c>
      <c r="C16" t="s">
        <v>77</v>
      </c>
      <c r="D16">
        <v>640</v>
      </c>
      <c r="E16">
        <v>10500</v>
      </c>
      <c r="F16">
        <v>3500</v>
      </c>
      <c r="G16">
        <v>7000</v>
      </c>
      <c r="H16" t="s">
        <v>33</v>
      </c>
      <c r="I16" t="s">
        <v>36</v>
      </c>
      <c r="J16" t="s">
        <v>49</v>
      </c>
      <c r="K16" t="s">
        <v>36</v>
      </c>
      <c r="L16" t="s">
        <v>28</v>
      </c>
      <c r="M16" t="s">
        <v>29</v>
      </c>
      <c r="N16">
        <v>7</v>
      </c>
      <c r="O16" s="2">
        <v>46253.683506944442</v>
      </c>
      <c r="P16" t="s">
        <v>30</v>
      </c>
    </row>
    <row r="17" spans="1:16" x14ac:dyDescent="0.3">
      <c r="A17" s="1">
        <v>46131</v>
      </c>
      <c r="B17" t="s">
        <v>78</v>
      </c>
      <c r="C17" t="s">
        <v>79</v>
      </c>
      <c r="D17">
        <v>4700</v>
      </c>
      <c r="E17">
        <v>23100</v>
      </c>
      <c r="F17">
        <v>7600</v>
      </c>
      <c r="G17">
        <v>15500</v>
      </c>
      <c r="H17" t="s">
        <v>24</v>
      </c>
      <c r="I17" t="s">
        <v>25</v>
      </c>
      <c r="J17" t="s">
        <v>26</v>
      </c>
      <c r="K17" t="s">
        <v>27</v>
      </c>
      <c r="L17" t="s">
        <v>37</v>
      </c>
      <c r="M17" t="s">
        <v>29</v>
      </c>
      <c r="N17">
        <v>7</v>
      </c>
      <c r="O17" s="2">
        <v>46253.683506944442</v>
      </c>
      <c r="P17" t="s">
        <v>30</v>
      </c>
    </row>
    <row r="18" spans="1:16" x14ac:dyDescent="0.3">
      <c r="A18" s="1">
        <v>46139</v>
      </c>
      <c r="B18" t="s">
        <v>80</v>
      </c>
      <c r="C18" t="s">
        <v>81</v>
      </c>
      <c r="D18">
        <v>1750</v>
      </c>
      <c r="E18">
        <v>15600</v>
      </c>
      <c r="F18">
        <v>5100</v>
      </c>
      <c r="G18">
        <v>10500</v>
      </c>
      <c r="H18" t="s">
        <v>33</v>
      </c>
      <c r="I18" t="s">
        <v>40</v>
      </c>
      <c r="J18" t="s">
        <v>35</v>
      </c>
      <c r="K18" t="s">
        <v>40</v>
      </c>
      <c r="L18" t="s">
        <v>51</v>
      </c>
      <c r="M18" t="s">
        <v>29</v>
      </c>
      <c r="N18">
        <v>7</v>
      </c>
      <c r="O18" s="2">
        <v>46253.683506944442</v>
      </c>
      <c r="P18" t="s">
        <v>30</v>
      </c>
    </row>
    <row r="19" spans="1:16" x14ac:dyDescent="0.3">
      <c r="A19" s="1">
        <v>46148</v>
      </c>
      <c r="B19" t="s">
        <v>82</v>
      </c>
      <c r="C19" t="s">
        <v>83</v>
      </c>
      <c r="D19">
        <v>3900</v>
      </c>
      <c r="E19">
        <v>20400</v>
      </c>
      <c r="F19">
        <v>6900</v>
      </c>
      <c r="G19">
        <v>13500</v>
      </c>
      <c r="H19" t="s">
        <v>24</v>
      </c>
      <c r="I19" t="s">
        <v>55</v>
      </c>
      <c r="J19" t="s">
        <v>26</v>
      </c>
      <c r="K19" t="s">
        <v>44</v>
      </c>
      <c r="L19" t="s">
        <v>41</v>
      </c>
      <c r="M19" t="s">
        <v>29</v>
      </c>
      <c r="N19">
        <v>7</v>
      </c>
      <c r="O19" s="2">
        <v>46253.683506944442</v>
      </c>
      <c r="P19" t="s">
        <v>30</v>
      </c>
    </row>
    <row r="20" spans="1:16" x14ac:dyDescent="0.3">
      <c r="A20" s="1">
        <v>46156</v>
      </c>
      <c r="B20" t="s">
        <v>84</v>
      </c>
      <c r="C20" t="s">
        <v>85</v>
      </c>
      <c r="D20">
        <v>2850</v>
      </c>
      <c r="E20">
        <v>17400</v>
      </c>
      <c r="F20">
        <v>6200</v>
      </c>
      <c r="G20">
        <v>11200</v>
      </c>
      <c r="H20" t="s">
        <v>33</v>
      </c>
      <c r="I20" t="s">
        <v>25</v>
      </c>
      <c r="J20" t="s">
        <v>26</v>
      </c>
      <c r="K20" t="s">
        <v>27</v>
      </c>
      <c r="L20" t="s">
        <v>45</v>
      </c>
      <c r="M20" t="s">
        <v>52</v>
      </c>
      <c r="N20">
        <v>7</v>
      </c>
      <c r="O20" s="2">
        <v>46253.683506944442</v>
      </c>
      <c r="P20" t="s">
        <v>30</v>
      </c>
    </row>
    <row r="21" spans="1:16" x14ac:dyDescent="0.3">
      <c r="A21" s="1">
        <v>46164</v>
      </c>
      <c r="B21" t="s">
        <v>86</v>
      </c>
      <c r="C21" t="s">
        <v>87</v>
      </c>
      <c r="D21">
        <v>5500</v>
      </c>
      <c r="E21">
        <v>26700</v>
      </c>
      <c r="F21">
        <v>8700</v>
      </c>
      <c r="G21">
        <v>18000</v>
      </c>
      <c r="H21" t="s">
        <v>24</v>
      </c>
      <c r="I21" t="s">
        <v>64</v>
      </c>
      <c r="J21" t="s">
        <v>26</v>
      </c>
      <c r="K21" t="s">
        <v>64</v>
      </c>
      <c r="L21" t="s">
        <v>28</v>
      </c>
      <c r="M21" t="s">
        <v>29</v>
      </c>
      <c r="N21">
        <v>7</v>
      </c>
      <c r="O21" s="2">
        <v>46253.683506944442</v>
      </c>
      <c r="P21" t="s">
        <v>30</v>
      </c>
    </row>
  </sheetData>
  <autoFilter ref="A1:P2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" customWidth="1"/>
    <col min="2" max="4" width="17" customWidth="1"/>
    <col min="5" max="5" width="7" customWidth="1"/>
    <col min="6" max="6" width="12" customWidth="1"/>
  </cols>
  <sheetData>
    <row r="1" spans="1:6" x14ac:dyDescent="0.3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</row>
  </sheetData>
  <autoFilter ref="A1:F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" customWidth="1"/>
    <col min="2" max="2" width="17" customWidth="1"/>
    <col min="3" max="3" width="6" customWidth="1"/>
    <col min="4" max="4" width="8" customWidth="1"/>
    <col min="5" max="5" width="11" customWidth="1"/>
    <col min="6" max="6" width="12" customWidth="1"/>
  </cols>
  <sheetData>
    <row r="1" spans="1:6" x14ac:dyDescent="0.3">
      <c r="A1" t="s">
        <v>88</v>
      </c>
      <c r="B1" t="s">
        <v>89</v>
      </c>
      <c r="C1" t="s">
        <v>6</v>
      </c>
      <c r="D1" t="s">
        <v>94</v>
      </c>
      <c r="E1" t="s">
        <v>95</v>
      </c>
      <c r="F1" t="s">
        <v>96</v>
      </c>
    </row>
  </sheetData>
  <autoFilter ref="A1:F1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" customWidth="1"/>
    <col min="2" max="2" width="21" customWidth="1"/>
    <col min="3" max="3" width="14" customWidth="1"/>
    <col min="4" max="4" width="13" customWidth="1"/>
    <col min="5" max="5" width="14" customWidth="1"/>
    <col min="6" max="6" width="15" customWidth="1"/>
    <col min="7" max="7" width="16" customWidth="1"/>
    <col min="8" max="8" width="14" customWidth="1"/>
    <col min="9" max="10" width="12" customWidth="1"/>
  </cols>
  <sheetData>
    <row r="1" spans="1:10" x14ac:dyDescent="0.3">
      <c r="A1" t="s">
        <v>21</v>
      </c>
      <c r="B1" t="s">
        <v>97</v>
      </c>
      <c r="C1" t="s">
        <v>98</v>
      </c>
      <c r="D1" t="s">
        <v>99</v>
      </c>
      <c r="E1" t="s">
        <v>100</v>
      </c>
      <c r="F1" t="s">
        <v>101</v>
      </c>
      <c r="G1" t="s">
        <v>102</v>
      </c>
      <c r="H1" t="s">
        <v>103</v>
      </c>
      <c r="I1" t="s">
        <v>104</v>
      </c>
      <c r="J1" t="s">
        <v>105</v>
      </c>
    </row>
    <row r="2" spans="1:10" x14ac:dyDescent="0.3">
      <c r="A2" t="s">
        <v>30</v>
      </c>
      <c r="B2" s="2">
        <v>46253.686168981483</v>
      </c>
      <c r="C2">
        <v>20</v>
      </c>
      <c r="D2">
        <v>0</v>
      </c>
      <c r="E2">
        <v>55590</v>
      </c>
      <c r="F2">
        <v>341700</v>
      </c>
      <c r="G2">
        <v>115200</v>
      </c>
      <c r="H2">
        <v>226500</v>
      </c>
      <c r="I2" s="1">
        <v>46027</v>
      </c>
      <c r="J2" s="1">
        <v>46164</v>
      </c>
    </row>
  </sheetData>
  <autoFilter ref="A1:J2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3" width="9" customWidth="1"/>
    <col min="4" max="4" width="10" customWidth="1"/>
    <col min="5" max="5" width="9" customWidth="1"/>
    <col min="6" max="6" width="14" customWidth="1"/>
  </cols>
  <sheetData>
    <row r="1" spans="1:6" x14ac:dyDescent="0.3">
      <c r="A1" t="s">
        <v>106</v>
      </c>
      <c r="B1" t="s">
        <v>9</v>
      </c>
      <c r="C1" t="s">
        <v>10</v>
      </c>
      <c r="D1" t="s">
        <v>11</v>
      </c>
      <c r="E1" t="s">
        <v>12</v>
      </c>
      <c r="F1" t="s">
        <v>5</v>
      </c>
    </row>
    <row r="2" spans="1:6" x14ac:dyDescent="0.3">
      <c r="A2" t="s">
        <v>107</v>
      </c>
      <c r="B2">
        <v>8580</v>
      </c>
      <c r="C2">
        <v>67200</v>
      </c>
      <c r="D2">
        <v>22400</v>
      </c>
      <c r="E2">
        <v>44800</v>
      </c>
      <c r="F2">
        <v>5</v>
      </c>
    </row>
    <row r="3" spans="1:6" x14ac:dyDescent="0.3">
      <c r="A3" t="s">
        <v>108</v>
      </c>
      <c r="B3">
        <v>10600</v>
      </c>
      <c r="C3">
        <v>61700</v>
      </c>
      <c r="D3">
        <v>22100</v>
      </c>
      <c r="E3">
        <v>39600</v>
      </c>
      <c r="F3">
        <v>4</v>
      </c>
    </row>
    <row r="4" spans="1:6" x14ac:dyDescent="0.3">
      <c r="A4" t="s">
        <v>109</v>
      </c>
      <c r="B4">
        <v>10970</v>
      </c>
      <c r="C4">
        <v>70200</v>
      </c>
      <c r="D4">
        <v>23600</v>
      </c>
      <c r="E4">
        <v>46600</v>
      </c>
      <c r="F4">
        <v>4</v>
      </c>
    </row>
    <row r="5" spans="1:6" x14ac:dyDescent="0.3">
      <c r="A5" t="s">
        <v>110</v>
      </c>
      <c r="B5">
        <v>13190</v>
      </c>
      <c r="C5">
        <v>78100</v>
      </c>
      <c r="D5">
        <v>25300</v>
      </c>
      <c r="E5">
        <v>52800</v>
      </c>
      <c r="F5">
        <v>4</v>
      </c>
    </row>
    <row r="6" spans="1:6" x14ac:dyDescent="0.3">
      <c r="A6" t="s">
        <v>111</v>
      </c>
      <c r="B6">
        <v>12250</v>
      </c>
      <c r="C6">
        <v>64500</v>
      </c>
      <c r="D6">
        <v>21800</v>
      </c>
      <c r="E6">
        <v>42700</v>
      </c>
      <c r="F6">
        <v>3</v>
      </c>
    </row>
  </sheetData>
  <autoFilter ref="A1:F6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3" width="9" customWidth="1"/>
    <col min="4" max="4" width="10" customWidth="1"/>
    <col min="5" max="5" width="9" customWidth="1"/>
    <col min="6" max="6" width="14" customWidth="1"/>
  </cols>
  <sheetData>
    <row r="1" spans="1:6" x14ac:dyDescent="0.3">
      <c r="A1" t="s">
        <v>14</v>
      </c>
      <c r="B1" t="s">
        <v>9</v>
      </c>
      <c r="C1" t="s">
        <v>10</v>
      </c>
      <c r="D1" t="s">
        <v>11</v>
      </c>
      <c r="E1" t="s">
        <v>12</v>
      </c>
      <c r="F1" t="s">
        <v>5</v>
      </c>
    </row>
    <row r="2" spans="1:6" x14ac:dyDescent="0.3">
      <c r="A2" t="s">
        <v>25</v>
      </c>
      <c r="B2">
        <v>9650</v>
      </c>
      <c r="C2">
        <v>66700</v>
      </c>
      <c r="D2">
        <v>22500</v>
      </c>
      <c r="E2">
        <v>44200</v>
      </c>
      <c r="F2">
        <v>4</v>
      </c>
    </row>
    <row r="3" spans="1:6" x14ac:dyDescent="0.3">
      <c r="A3" t="s">
        <v>55</v>
      </c>
      <c r="B3">
        <v>13200</v>
      </c>
      <c r="C3">
        <v>66500</v>
      </c>
      <c r="D3">
        <v>22400</v>
      </c>
      <c r="E3">
        <v>44100</v>
      </c>
      <c r="F3">
        <v>3</v>
      </c>
    </row>
    <row r="4" spans="1:6" x14ac:dyDescent="0.3">
      <c r="A4" t="s">
        <v>44</v>
      </c>
      <c r="B4">
        <v>9550</v>
      </c>
      <c r="C4">
        <v>54700</v>
      </c>
      <c r="D4">
        <v>18200</v>
      </c>
      <c r="E4">
        <v>36500</v>
      </c>
      <c r="F4">
        <v>3</v>
      </c>
    </row>
    <row r="5" spans="1:6" x14ac:dyDescent="0.3">
      <c r="A5" t="s">
        <v>40</v>
      </c>
      <c r="B5">
        <v>6000</v>
      </c>
      <c r="C5">
        <v>45300</v>
      </c>
      <c r="D5">
        <v>15200</v>
      </c>
      <c r="E5">
        <v>30100</v>
      </c>
      <c r="F5">
        <v>3</v>
      </c>
    </row>
    <row r="6" spans="1:6" x14ac:dyDescent="0.3">
      <c r="A6" t="s">
        <v>75</v>
      </c>
      <c r="B6">
        <v>6100</v>
      </c>
      <c r="C6">
        <v>28900</v>
      </c>
      <c r="D6">
        <v>9100</v>
      </c>
      <c r="E6">
        <v>19800</v>
      </c>
      <c r="F6">
        <v>1</v>
      </c>
    </row>
    <row r="7" spans="1:6" x14ac:dyDescent="0.3">
      <c r="A7" t="s">
        <v>64</v>
      </c>
      <c r="B7">
        <v>5500</v>
      </c>
      <c r="C7">
        <v>26700</v>
      </c>
      <c r="D7">
        <v>8700</v>
      </c>
      <c r="E7">
        <v>18000</v>
      </c>
      <c r="F7">
        <v>1</v>
      </c>
    </row>
    <row r="8" spans="1:6" x14ac:dyDescent="0.3">
      <c r="A8" t="s">
        <v>36</v>
      </c>
      <c r="B8">
        <v>2440</v>
      </c>
      <c r="C8">
        <v>19700</v>
      </c>
      <c r="D8">
        <v>8100</v>
      </c>
      <c r="E8">
        <v>11600</v>
      </c>
      <c r="F8">
        <v>2</v>
      </c>
    </row>
    <row r="9" spans="1:6" x14ac:dyDescent="0.3">
      <c r="A9" t="s">
        <v>71</v>
      </c>
      <c r="B9">
        <v>920</v>
      </c>
      <c r="C9">
        <v>12100</v>
      </c>
      <c r="D9">
        <v>4100</v>
      </c>
      <c r="E9">
        <v>8000</v>
      </c>
      <c r="F9">
        <v>1</v>
      </c>
    </row>
    <row r="10" spans="1:6" x14ac:dyDescent="0.3">
      <c r="A10" t="s">
        <v>48</v>
      </c>
      <c r="B10">
        <v>780</v>
      </c>
      <c r="C10">
        <v>11300</v>
      </c>
      <c r="D10">
        <v>3800</v>
      </c>
      <c r="E10">
        <v>7500</v>
      </c>
      <c r="F10">
        <v>1</v>
      </c>
    </row>
    <row r="11" spans="1:6" x14ac:dyDescent="0.3">
      <c r="A11" t="s">
        <v>34</v>
      </c>
      <c r="B11">
        <v>1450</v>
      </c>
      <c r="C11">
        <v>9800</v>
      </c>
      <c r="D11">
        <v>3100</v>
      </c>
      <c r="E11">
        <v>6700</v>
      </c>
      <c r="F11">
        <v>1</v>
      </c>
    </row>
  </sheetData>
  <autoFilter ref="A1:F11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1" customWidth="1"/>
    <col min="2" max="2" width="14" customWidth="1"/>
    <col min="3" max="4" width="9" customWidth="1"/>
    <col min="5" max="5" width="10" customWidth="1"/>
    <col min="6" max="6" width="9" customWidth="1"/>
  </cols>
  <sheetData>
    <row r="1" spans="1:6" x14ac:dyDescent="0.3">
      <c r="A1" t="s">
        <v>17</v>
      </c>
      <c r="B1" t="s">
        <v>5</v>
      </c>
      <c r="C1" t="s">
        <v>9</v>
      </c>
      <c r="D1" t="s">
        <v>10</v>
      </c>
      <c r="E1" t="s">
        <v>11</v>
      </c>
      <c r="F1" t="s">
        <v>12</v>
      </c>
    </row>
    <row r="2" spans="1:6" x14ac:dyDescent="0.3">
      <c r="A2" t="s">
        <v>28</v>
      </c>
      <c r="B2">
        <v>5</v>
      </c>
      <c r="C2">
        <v>16290</v>
      </c>
      <c r="D2">
        <v>95800</v>
      </c>
      <c r="E2">
        <v>31900</v>
      </c>
      <c r="F2">
        <v>63900</v>
      </c>
    </row>
    <row r="3" spans="1:6" x14ac:dyDescent="0.3">
      <c r="A3" t="s">
        <v>45</v>
      </c>
      <c r="B3">
        <v>4</v>
      </c>
      <c r="C3">
        <v>14100</v>
      </c>
      <c r="D3">
        <v>78800</v>
      </c>
      <c r="E3">
        <v>26300</v>
      </c>
      <c r="F3">
        <v>52500</v>
      </c>
    </row>
    <row r="4" spans="1:6" x14ac:dyDescent="0.3">
      <c r="A4" t="s">
        <v>37</v>
      </c>
      <c r="B4">
        <v>4</v>
      </c>
      <c r="C4">
        <v>11550</v>
      </c>
      <c r="D4">
        <v>61900</v>
      </c>
      <c r="E4">
        <v>22000</v>
      </c>
      <c r="F4">
        <v>39900</v>
      </c>
    </row>
    <row r="5" spans="1:6" x14ac:dyDescent="0.3">
      <c r="A5" t="s">
        <v>41</v>
      </c>
      <c r="B5">
        <v>4</v>
      </c>
      <c r="C5">
        <v>9870</v>
      </c>
      <c r="D5">
        <v>64600</v>
      </c>
      <c r="E5">
        <v>21600</v>
      </c>
      <c r="F5">
        <v>43000</v>
      </c>
    </row>
    <row r="6" spans="1:6" x14ac:dyDescent="0.3">
      <c r="A6" t="s">
        <v>51</v>
      </c>
      <c r="B6">
        <v>3</v>
      </c>
      <c r="C6">
        <v>3780</v>
      </c>
      <c r="D6">
        <v>40600</v>
      </c>
      <c r="E6">
        <v>13400</v>
      </c>
      <c r="F6">
        <v>27200</v>
      </c>
    </row>
  </sheetData>
  <autoFilter ref="A1:F6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6" customWidth="1"/>
    <col min="2" max="2" width="14" customWidth="1"/>
    <col min="3" max="3" width="9" customWidth="1"/>
    <col min="4" max="6" width="10" customWidth="1"/>
  </cols>
  <sheetData>
    <row r="1" spans="1:6" x14ac:dyDescent="0.3">
      <c r="A1" t="s">
        <v>15</v>
      </c>
      <c r="B1" t="s">
        <v>5</v>
      </c>
      <c r="C1" t="s">
        <v>9</v>
      </c>
      <c r="D1" t="s">
        <v>10</v>
      </c>
      <c r="E1" t="s">
        <v>11</v>
      </c>
      <c r="F1" t="s">
        <v>12</v>
      </c>
    </row>
    <row r="2" spans="1:6" x14ac:dyDescent="0.3">
      <c r="A2" t="s">
        <v>26</v>
      </c>
      <c r="B2">
        <v>12</v>
      </c>
      <c r="C2">
        <v>44100</v>
      </c>
      <c r="D2">
        <v>237700</v>
      </c>
      <c r="E2">
        <v>80800</v>
      </c>
      <c r="F2">
        <v>156900</v>
      </c>
    </row>
    <row r="3" spans="1:6" x14ac:dyDescent="0.3">
      <c r="A3" t="s">
        <v>35</v>
      </c>
      <c r="B3">
        <v>5</v>
      </c>
      <c r="C3">
        <v>9150</v>
      </c>
      <c r="D3">
        <v>70100</v>
      </c>
      <c r="E3">
        <v>23000</v>
      </c>
      <c r="F3">
        <v>47100</v>
      </c>
    </row>
    <row r="4" spans="1:6" x14ac:dyDescent="0.3">
      <c r="A4" t="s">
        <v>49</v>
      </c>
      <c r="B4">
        <v>3</v>
      </c>
      <c r="C4">
        <v>2340</v>
      </c>
      <c r="D4">
        <v>33900</v>
      </c>
      <c r="E4">
        <v>11400</v>
      </c>
      <c r="F4">
        <v>22500</v>
      </c>
    </row>
  </sheetData>
  <autoFilter ref="A1:F4" xr:uid="{00000000-0009-0000-0000-000008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" customWidth="1"/>
    <col min="2" max="2" width="14" customWidth="1"/>
    <col min="3" max="3" width="9" customWidth="1"/>
    <col min="4" max="6" width="10" customWidth="1"/>
  </cols>
  <sheetData>
    <row r="1" spans="1:6" x14ac:dyDescent="0.3">
      <c r="A1" t="s">
        <v>21</v>
      </c>
      <c r="B1" t="s">
        <v>5</v>
      </c>
      <c r="C1" t="s">
        <v>9</v>
      </c>
      <c r="D1" t="s">
        <v>10</v>
      </c>
      <c r="E1" t="s">
        <v>11</v>
      </c>
      <c r="F1" t="s">
        <v>12</v>
      </c>
    </row>
    <row r="2" spans="1:6" x14ac:dyDescent="0.3">
      <c r="A2" t="s">
        <v>30</v>
      </c>
      <c r="B2">
        <v>20</v>
      </c>
      <c r="C2">
        <v>55590</v>
      </c>
      <c r="D2">
        <v>341700</v>
      </c>
      <c r="E2">
        <v>115200</v>
      </c>
      <c r="F2">
        <v>226500</v>
      </c>
    </row>
  </sheetData>
  <autoFilter ref="A1:F2" xr:uid="{00000000-0009-0000-0000-000009000000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14" customWidth="1"/>
    <col min="3" max="3" width="9" customWidth="1"/>
    <col min="4" max="5" width="10" customWidth="1"/>
    <col min="6" max="6" width="9" customWidth="1"/>
  </cols>
  <sheetData>
    <row r="1" spans="1:6" x14ac:dyDescent="0.3">
      <c r="A1" t="s">
        <v>16</v>
      </c>
      <c r="B1" t="s">
        <v>5</v>
      </c>
      <c r="C1" t="s">
        <v>9</v>
      </c>
      <c r="D1" t="s">
        <v>10</v>
      </c>
      <c r="E1" t="s">
        <v>11</v>
      </c>
      <c r="F1" t="s">
        <v>12</v>
      </c>
    </row>
    <row r="2" spans="1:6" x14ac:dyDescent="0.3">
      <c r="A2" t="s">
        <v>27</v>
      </c>
      <c r="B2">
        <v>5</v>
      </c>
      <c r="C2">
        <v>13750</v>
      </c>
      <c r="D2">
        <v>88200</v>
      </c>
      <c r="E2">
        <v>29700</v>
      </c>
      <c r="F2">
        <v>58500</v>
      </c>
    </row>
    <row r="3" spans="1:6" x14ac:dyDescent="0.3">
      <c r="A3" t="s">
        <v>44</v>
      </c>
      <c r="B3">
        <v>5</v>
      </c>
      <c r="C3">
        <v>19550</v>
      </c>
      <c r="D3">
        <v>104000</v>
      </c>
      <c r="E3">
        <v>34200</v>
      </c>
      <c r="F3">
        <v>69800</v>
      </c>
    </row>
    <row r="4" spans="1:6" x14ac:dyDescent="0.3">
      <c r="A4" t="s">
        <v>40</v>
      </c>
      <c r="B4">
        <v>3</v>
      </c>
      <c r="C4">
        <v>6000</v>
      </c>
      <c r="D4">
        <v>45300</v>
      </c>
      <c r="E4">
        <v>15200</v>
      </c>
      <c r="F4">
        <v>30100</v>
      </c>
    </row>
    <row r="5" spans="1:6" x14ac:dyDescent="0.3">
      <c r="A5" t="s">
        <v>36</v>
      </c>
      <c r="B5">
        <v>3</v>
      </c>
      <c r="C5">
        <v>3890</v>
      </c>
      <c r="D5">
        <v>29500</v>
      </c>
      <c r="E5">
        <v>11200</v>
      </c>
      <c r="F5">
        <v>18300</v>
      </c>
    </row>
    <row r="6" spans="1:6" x14ac:dyDescent="0.3">
      <c r="A6" t="s">
        <v>64</v>
      </c>
      <c r="B6">
        <v>2</v>
      </c>
      <c r="C6">
        <v>10700</v>
      </c>
      <c r="D6">
        <v>51300</v>
      </c>
      <c r="E6">
        <v>17000</v>
      </c>
      <c r="F6">
        <v>34300</v>
      </c>
    </row>
    <row r="7" spans="1:6" x14ac:dyDescent="0.3">
      <c r="A7" t="s">
        <v>72</v>
      </c>
      <c r="B7">
        <v>1</v>
      </c>
      <c r="C7">
        <v>920</v>
      </c>
      <c r="D7">
        <v>12100</v>
      </c>
      <c r="E7">
        <v>4100</v>
      </c>
      <c r="F7">
        <v>8000</v>
      </c>
    </row>
    <row r="8" spans="1:6" x14ac:dyDescent="0.3">
      <c r="A8" t="s">
        <v>50</v>
      </c>
      <c r="B8">
        <v>1</v>
      </c>
      <c r="C8">
        <v>780</v>
      </c>
      <c r="D8">
        <v>11300</v>
      </c>
      <c r="E8">
        <v>3800</v>
      </c>
      <c r="F8">
        <v>7500</v>
      </c>
    </row>
  </sheetData>
  <autoFilter ref="A1:F8" xr:uid="{00000000-0009-0000-0000-00000A000000}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1" customWidth="1"/>
    <col min="2" max="2" width="14" customWidth="1"/>
    <col min="3" max="3" width="9" customWidth="1"/>
    <col min="4" max="6" width="10" customWidth="1"/>
  </cols>
  <sheetData>
    <row r="1" spans="1:6" x14ac:dyDescent="0.3">
      <c r="A1" t="s">
        <v>18</v>
      </c>
      <c r="B1" t="s">
        <v>5</v>
      </c>
      <c r="C1" t="s">
        <v>9</v>
      </c>
      <c r="D1" t="s">
        <v>10</v>
      </c>
      <c r="E1" t="s">
        <v>11</v>
      </c>
      <c r="F1" t="s">
        <v>12</v>
      </c>
    </row>
    <row r="2" spans="1:6" x14ac:dyDescent="0.3">
      <c r="A2" t="s">
        <v>29</v>
      </c>
      <c r="B2">
        <v>17</v>
      </c>
      <c r="C2">
        <v>51040</v>
      </c>
      <c r="D2">
        <v>300900</v>
      </c>
      <c r="E2">
        <v>101100</v>
      </c>
      <c r="F2">
        <v>199800</v>
      </c>
    </row>
    <row r="3" spans="1:6" x14ac:dyDescent="0.3">
      <c r="A3" t="s">
        <v>52</v>
      </c>
      <c r="B3">
        <v>3</v>
      </c>
      <c r="C3">
        <v>4550</v>
      </c>
      <c r="D3">
        <v>40800</v>
      </c>
      <c r="E3">
        <v>14100</v>
      </c>
      <c r="F3">
        <v>26700</v>
      </c>
    </row>
  </sheetData>
  <autoFilter ref="A1:F3" xr:uid="{00000000-0009-0000-0000-00000B000000}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2" customWidth="1"/>
    <col min="2" max="2" width="35" customWidth="1"/>
  </cols>
  <sheetData>
    <row r="1" spans="1:2" x14ac:dyDescent="0.3">
      <c r="A1" t="s">
        <v>112</v>
      </c>
      <c r="B1" t="s">
        <v>8</v>
      </c>
    </row>
    <row r="2" spans="1:2" x14ac:dyDescent="0.3">
      <c r="A2" t="s">
        <v>113</v>
      </c>
      <c r="B2" t="s">
        <v>114</v>
      </c>
    </row>
    <row r="3" spans="1:2" x14ac:dyDescent="0.3">
      <c r="A3" t="s">
        <v>115</v>
      </c>
      <c r="B3" t="s">
        <v>116</v>
      </c>
    </row>
    <row r="4" spans="1:2" x14ac:dyDescent="0.3">
      <c r="A4" t="s">
        <v>99</v>
      </c>
      <c r="B4" t="s">
        <v>117</v>
      </c>
    </row>
    <row r="5" spans="1:2" x14ac:dyDescent="0.3">
      <c r="A5" t="s">
        <v>118</v>
      </c>
      <c r="B5" t="s">
        <v>119</v>
      </c>
    </row>
    <row r="6" spans="1:2" x14ac:dyDescent="0.3">
      <c r="A6" t="s">
        <v>120</v>
      </c>
      <c r="B6" t="s">
        <v>121</v>
      </c>
    </row>
    <row r="7" spans="1:2" x14ac:dyDescent="0.3">
      <c r="A7" t="s">
        <v>122</v>
      </c>
      <c r="B7" t="s">
        <v>123</v>
      </c>
    </row>
    <row r="8" spans="1:2" x14ac:dyDescent="0.3">
      <c r="A8" t="s">
        <v>124</v>
      </c>
      <c r="B8" t="s">
        <v>125</v>
      </c>
    </row>
    <row r="9" spans="1:2" x14ac:dyDescent="0.3">
      <c r="A9" t="s">
        <v>126</v>
      </c>
      <c r="B9" t="s">
        <v>127</v>
      </c>
    </row>
    <row r="10" spans="1:2" x14ac:dyDescent="0.3">
      <c r="A10" t="s">
        <v>128</v>
      </c>
      <c r="B10" t="s">
        <v>129</v>
      </c>
    </row>
    <row r="11" spans="1:2" x14ac:dyDescent="0.3">
      <c r="A11" t="s">
        <v>130</v>
      </c>
      <c r="B11" t="s">
        <v>131</v>
      </c>
    </row>
    <row r="12" spans="1:2" x14ac:dyDescent="0.3">
      <c r="A12" t="s">
        <v>132</v>
      </c>
      <c r="B12" t="s">
        <v>133</v>
      </c>
    </row>
    <row r="13" spans="1:2" x14ac:dyDescent="0.3">
      <c r="A13" t="s">
        <v>134</v>
      </c>
      <c r="B13" t="s">
        <v>135</v>
      </c>
    </row>
  </sheetData>
  <autoFilter ref="A1:B13" xr:uid="{00000000-0009-0000-0000-00000C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Dashboard</vt:lpstr>
      <vt:lpstr>Cleaned_Data</vt:lpstr>
      <vt:lpstr>Predictions</vt:lpstr>
      <vt:lpstr>Prediction_vs_Actual</vt:lpstr>
      <vt:lpstr>KPI_Summary</vt:lpstr>
      <vt:lpstr>Monthly_Analysis</vt:lpstr>
      <vt:lpstr>Category_Analysis</vt:lpstr>
      <vt:lpstr>City_Analysis</vt:lpstr>
      <vt:lpstr>Payment_Analysis</vt:lpstr>
      <vt:lpstr>Company_Analysis</vt:lpstr>
      <vt:lpstr>Department_Analysis</vt:lpstr>
      <vt:lpstr>Status_Analysis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adi memeti</cp:lastModifiedBy>
  <dcterms:created xsi:type="dcterms:W3CDTF">2026-08-19T14:28:06Z</dcterms:created>
  <dcterms:modified xsi:type="dcterms:W3CDTF">2026-08-20T13:52:15Z</dcterms:modified>
</cp:coreProperties>
</file>