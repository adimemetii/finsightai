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84A4C7-8E99-48AF-BB85-A9582359F0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entari" sheetId="1" r:id="rId1"/>
    <sheet name="Rezervimet" sheetId="2" r:id="rId2"/>
    <sheet name="Korrik 2026" sheetId="3" r:id="rId3"/>
    <sheet name="Gusht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2" l="1"/>
  <c r="K16" i="2"/>
  <c r="K14" i="2"/>
  <c r="K20" i="2"/>
  <c r="K15" i="2"/>
  <c r="K11" i="2"/>
  <c r="K9" i="2"/>
  <c r="G38" i="4"/>
  <c r="E38" i="4"/>
  <c r="C38" i="4"/>
  <c r="G37" i="4"/>
  <c r="E37" i="4"/>
  <c r="C37" i="4"/>
  <c r="G36" i="4"/>
  <c r="E36" i="4"/>
  <c r="C36" i="4"/>
  <c r="G35" i="4"/>
  <c r="E35" i="4"/>
  <c r="C35" i="4"/>
  <c r="G34" i="4"/>
  <c r="E34" i="4"/>
  <c r="C34" i="4"/>
  <c r="G33" i="4"/>
  <c r="E33" i="4"/>
  <c r="C33" i="4"/>
  <c r="G32" i="4"/>
  <c r="E32" i="4"/>
  <c r="C32" i="4"/>
  <c r="G31" i="4"/>
  <c r="E31" i="4"/>
  <c r="C31" i="4"/>
  <c r="D31" i="4" s="1"/>
  <c r="G30" i="4"/>
  <c r="E30" i="4"/>
  <c r="C30" i="4"/>
  <c r="G29" i="4"/>
  <c r="E29" i="4"/>
  <c r="C29" i="4"/>
  <c r="G28" i="4"/>
  <c r="E28" i="4"/>
  <c r="C28" i="4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D23" i="4" s="1"/>
  <c r="G22" i="4"/>
  <c r="E22" i="4"/>
  <c r="C22" i="4"/>
  <c r="G21" i="4"/>
  <c r="E21" i="4"/>
  <c r="C21" i="4"/>
  <c r="G20" i="4"/>
  <c r="E20" i="4"/>
  <c r="C20" i="4"/>
  <c r="G19" i="4"/>
  <c r="E19" i="4"/>
  <c r="C19" i="4"/>
  <c r="D19" i="4" s="1"/>
  <c r="G18" i="4"/>
  <c r="E18" i="4"/>
  <c r="C18" i="4"/>
  <c r="G17" i="4"/>
  <c r="E17" i="4"/>
  <c r="C17" i="4"/>
  <c r="G16" i="4"/>
  <c r="E16" i="4"/>
  <c r="C16" i="4"/>
  <c r="G15" i="4"/>
  <c r="E15" i="4"/>
  <c r="C15" i="4"/>
  <c r="C14" i="4"/>
  <c r="C13" i="4"/>
  <c r="C12" i="4"/>
  <c r="G11" i="4"/>
  <c r="C11" i="4"/>
  <c r="G10" i="4"/>
  <c r="E10" i="4"/>
  <c r="C10" i="4"/>
  <c r="G9" i="4"/>
  <c r="E9" i="4"/>
  <c r="C9" i="4"/>
  <c r="G8" i="4"/>
  <c r="C8" i="4"/>
  <c r="B4" i="4"/>
  <c r="F11" i="4" s="1"/>
  <c r="B3" i="4"/>
  <c r="G16" i="3"/>
  <c r="E16" i="3"/>
  <c r="C16" i="3"/>
  <c r="G15" i="3"/>
  <c r="E15" i="3"/>
  <c r="C15" i="3"/>
  <c r="G14" i="3"/>
  <c r="E14" i="3"/>
  <c r="C14" i="3"/>
  <c r="G13" i="3"/>
  <c r="C13" i="3"/>
  <c r="G12" i="3"/>
  <c r="E12" i="3"/>
  <c r="C12" i="3"/>
  <c r="C11" i="3"/>
  <c r="G9" i="3"/>
  <c r="H9" i="3" s="1"/>
  <c r="E9" i="3"/>
  <c r="C9" i="3"/>
  <c r="G8" i="3"/>
  <c r="H8" i="3" s="1"/>
  <c r="E8" i="3"/>
  <c r="C8" i="3"/>
  <c r="B5" i="3"/>
  <c r="H11" i="3" s="1"/>
  <c r="B4" i="3"/>
  <c r="B3" i="3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2" i="2"/>
  <c r="K21" i="2"/>
  <c r="K19" i="2"/>
  <c r="K17" i="2"/>
  <c r="K10" i="2"/>
  <c r="K13" i="2"/>
  <c r="K7" i="2"/>
  <c r="K8" i="2"/>
  <c r="K6" i="2"/>
  <c r="K5" i="2"/>
  <c r="K2" i="2"/>
  <c r="K4" i="2"/>
  <c r="K12" i="2"/>
  <c r="K18" i="2"/>
  <c r="H16" i="3" l="1"/>
  <c r="H13" i="3"/>
  <c r="D37" i="4"/>
  <c r="H33" i="4"/>
  <c r="H14" i="3"/>
  <c r="F16" i="3"/>
  <c r="D12" i="4"/>
  <c r="D32" i="4"/>
  <c r="D8" i="4"/>
  <c r="D20" i="4"/>
  <c r="D15" i="3"/>
  <c r="D13" i="4"/>
  <c r="D17" i="4"/>
  <c r="D21" i="4"/>
  <c r="D25" i="4"/>
  <c r="D29" i="4"/>
  <c r="D33" i="4"/>
  <c r="D30" i="4"/>
  <c r="D12" i="3"/>
  <c r="D9" i="4"/>
  <c r="D14" i="4"/>
  <c r="D18" i="4"/>
  <c r="D22" i="4"/>
  <c r="D26" i="4"/>
  <c r="D9" i="3"/>
  <c r="D13" i="3"/>
  <c r="D10" i="4"/>
  <c r="D11" i="4"/>
  <c r="D8" i="3"/>
  <c r="D16" i="3"/>
  <c r="D34" i="4"/>
  <c r="D17" i="3"/>
  <c r="F31" i="4"/>
  <c r="F16" i="4"/>
  <c r="F15" i="4"/>
  <c r="F15" i="3"/>
  <c r="F24" i="4"/>
  <c r="F23" i="4"/>
  <c r="F8" i="4"/>
  <c r="F28" i="4"/>
  <c r="F27" i="4"/>
  <c r="F11" i="3"/>
  <c r="F12" i="4"/>
  <c r="F17" i="4"/>
  <c r="F19" i="4"/>
  <c r="F32" i="4"/>
  <c r="F20" i="4"/>
  <c r="F10" i="3"/>
  <c r="F14" i="3"/>
  <c r="F30" i="4"/>
  <c r="F13" i="3"/>
  <c r="F18" i="4"/>
  <c r="F35" i="4"/>
  <c r="H26" i="4"/>
  <c r="F8" i="3"/>
  <c r="D10" i="3"/>
  <c r="H11" i="4"/>
  <c r="F13" i="4"/>
  <c r="D15" i="4"/>
  <c r="H23" i="4"/>
  <c r="F25" i="4"/>
  <c r="D27" i="4"/>
  <c r="H35" i="4"/>
  <c r="F37" i="4"/>
  <c r="H18" i="4"/>
  <c r="H30" i="4"/>
  <c r="H37" i="4"/>
  <c r="H15" i="3"/>
  <c r="F17" i="3"/>
  <c r="H8" i="4"/>
  <c r="F10" i="4"/>
  <c r="H20" i="4"/>
  <c r="F22" i="4"/>
  <c r="D24" i="4"/>
  <c r="H32" i="4"/>
  <c r="F34" i="4"/>
  <c r="D36" i="4"/>
  <c r="H13" i="4"/>
  <c r="H10" i="3"/>
  <c r="F12" i="3"/>
  <c r="D14" i="3"/>
  <c r="H15" i="4"/>
  <c r="H27" i="4"/>
  <c r="F29" i="4"/>
  <c r="H25" i="4"/>
  <c r="H17" i="3"/>
  <c r="H10" i="4"/>
  <c r="H22" i="4"/>
  <c r="H34" i="4"/>
  <c r="F36" i="4"/>
  <c r="D38" i="4"/>
  <c r="H16" i="4"/>
  <c r="H28" i="4"/>
  <c r="H12" i="3"/>
  <c r="H17" i="4"/>
  <c r="H29" i="4"/>
  <c r="H14" i="4"/>
  <c r="F9" i="3"/>
  <c r="D11" i="3"/>
  <c r="H12" i="4"/>
  <c r="F14" i="4"/>
  <c r="D16" i="4"/>
  <c r="H24" i="4"/>
  <c r="F26" i="4"/>
  <c r="D28" i="4"/>
  <c r="H36" i="4"/>
  <c r="F38" i="4"/>
  <c r="F9" i="4"/>
  <c r="H19" i="4"/>
  <c r="F21" i="4"/>
  <c r="H31" i="4"/>
  <c r="F33" i="4"/>
  <c r="D35" i="4"/>
  <c r="H38" i="4"/>
  <c r="H9" i="4"/>
  <c r="H21" i="4"/>
  <c r="I11" i="3" l="1"/>
  <c r="I19" i="4"/>
  <c r="I12" i="4"/>
  <c r="I14" i="3"/>
  <c r="I13" i="3"/>
  <c r="I9" i="3"/>
  <c r="I16" i="3"/>
  <c r="I33" i="4"/>
  <c r="I8" i="3"/>
  <c r="I32" i="4"/>
  <c r="I30" i="4"/>
  <c r="I25" i="4"/>
  <c r="I31" i="4"/>
  <c r="I10" i="4"/>
  <c r="I16" i="4"/>
  <c r="I11" i="4"/>
  <c r="I18" i="4"/>
  <c r="I17" i="3"/>
  <c r="I15" i="3"/>
  <c r="I17" i="4"/>
  <c r="I20" i="4"/>
  <c r="I8" i="4"/>
  <c r="I23" i="4"/>
  <c r="I38" i="4"/>
  <c r="I22" i="4"/>
  <c r="I34" i="4"/>
  <c r="I13" i="4"/>
  <c r="I29" i="4"/>
  <c r="I12" i="3"/>
  <c r="I37" i="4"/>
  <c r="I28" i="4"/>
  <c r="I27" i="4"/>
  <c r="I21" i="4"/>
  <c r="I36" i="4"/>
  <c r="I15" i="4"/>
  <c r="I14" i="4"/>
  <c r="I26" i="4"/>
  <c r="I9" i="4"/>
  <c r="I35" i="4"/>
  <c r="I24" i="4"/>
  <c r="I10" i="3"/>
</calcChain>
</file>

<file path=xl/sharedStrings.xml><?xml version="1.0" encoding="utf-8"?>
<sst xmlns="http://schemas.openxmlformats.org/spreadsheetml/2006/main" count="197" uniqueCount="128">
  <si>
    <t>INVENTARI TOTAL</t>
  </si>
  <si>
    <t>Artikulli</t>
  </si>
  <si>
    <t>Sasia Totale</t>
  </si>
  <si>
    <t>Tenda</t>
  </si>
  <si>
    <t>Karrika</t>
  </si>
  <si>
    <t>Tavolina</t>
  </si>
  <si>
    <t>Shënim: Ndrysho vetëm sasitë totale në këtë fletë nëse inventari ndryshon. Fletët mujore llogariten automatikisht.</t>
  </si>
  <si>
    <t>Emri dhe Mbiemri</t>
  </si>
  <si>
    <t>Adresa</t>
  </si>
  <si>
    <t>Nr. Telefonit</t>
  </si>
  <si>
    <t>Data &amp; Koha e Dërgesës</t>
  </si>
  <si>
    <t>Data &amp; Koha e Lirimit</t>
  </si>
  <si>
    <t>Çmimi (€)</t>
  </si>
  <si>
    <t>Parapagimi (€)</t>
  </si>
  <si>
    <t>Mbetja (€)</t>
  </si>
  <si>
    <t>Statusi / Shënime</t>
  </si>
  <si>
    <t>KONTROLLI I INVENTARIT - KORRIK 2026</t>
  </si>
  <si>
    <t>Tenda total</t>
  </si>
  <si>
    <t>Karrika total</t>
  </si>
  <si>
    <t>Tavolina total</t>
  </si>
  <si>
    <t>Data</t>
  </si>
  <si>
    <t>Dita</t>
  </si>
  <si>
    <t>Tenda zënë</t>
  </si>
  <si>
    <t>Tenda lirë</t>
  </si>
  <si>
    <t>Karrika zënë</t>
  </si>
  <si>
    <t>Karrika lirë</t>
  </si>
  <si>
    <t>Tavolina zënë</t>
  </si>
  <si>
    <t>Tavolina lirë</t>
  </si>
  <si>
    <t>Gjendja</t>
  </si>
  <si>
    <t>Shënime</t>
  </si>
  <si>
    <t>E mërkurë</t>
  </si>
  <si>
    <t>E enjte</t>
  </si>
  <si>
    <t>E premte</t>
  </si>
  <si>
    <t>E shtunë</t>
  </si>
  <si>
    <t>E diel</t>
  </si>
  <si>
    <t>E hënë</t>
  </si>
  <si>
    <t>E martë</t>
  </si>
  <si>
    <t>KONTROLLI I INVENTARIT - GUSHT 2026</t>
  </si>
  <si>
    <t>Arsim Avdiu</t>
  </si>
  <si>
    <t>Gjylekar</t>
  </si>
  <si>
    <t>kadri salihu / remnik</t>
  </si>
  <si>
    <t>Arsim Avdiu/ gjylekar</t>
  </si>
  <si>
    <t>Melihati</t>
  </si>
  <si>
    <t>Ibrahim Pajaziti</t>
  </si>
  <si>
    <t>Radivojc</t>
  </si>
  <si>
    <t>Ferid Hasani</t>
  </si>
  <si>
    <t>Budrikë</t>
  </si>
  <si>
    <t>Almir Sylejmani</t>
  </si>
  <si>
    <t>Arsim Shabani</t>
  </si>
  <si>
    <t>Gjilan</t>
  </si>
  <si>
    <t>Radovojc</t>
  </si>
  <si>
    <t>Tahir Sejdiu</t>
  </si>
  <si>
    <t>Remnik</t>
  </si>
  <si>
    <t>0 49704260</t>
  </si>
  <si>
    <t>26.07  pasdite</t>
  </si>
  <si>
    <t>25.07 pasdite</t>
  </si>
  <si>
    <t>27.07 ora 14</t>
  </si>
  <si>
    <t>26.07 pasdite</t>
  </si>
  <si>
    <t>29.07 mengjes</t>
  </si>
  <si>
    <t>31.07 ora 14</t>
  </si>
  <si>
    <t>01.08 ora 15:00</t>
  </si>
  <si>
    <t>01.08 ora 14:00</t>
  </si>
  <si>
    <t>08.08 mengjes</t>
  </si>
  <si>
    <t>Zabel</t>
  </si>
  <si>
    <t>Kenan Hajdari</t>
  </si>
  <si>
    <t>Lirim Pajaziti</t>
  </si>
  <si>
    <t>Valmiri K.T</t>
  </si>
  <si>
    <t>Terpezë</t>
  </si>
  <si>
    <t>045 436 999</t>
  </si>
  <si>
    <t>02.08. pasdite</t>
  </si>
  <si>
    <t>Column1</t>
  </si>
  <si>
    <t>Remnilk</t>
  </si>
  <si>
    <t>01.08.mengjes</t>
  </si>
  <si>
    <t xml:space="preserve">   </t>
  </si>
  <si>
    <t>044 594 860</t>
  </si>
  <si>
    <t>Ali Xhemajli</t>
  </si>
  <si>
    <t>Terstenik</t>
  </si>
  <si>
    <t>07.08 mengjes</t>
  </si>
  <si>
    <t>044 865 802</t>
  </si>
  <si>
    <t>Hajdar Rexhepi</t>
  </si>
  <si>
    <t>Radivojcë</t>
  </si>
  <si>
    <t>09.08. mengjes</t>
  </si>
  <si>
    <t>Fanoli</t>
  </si>
  <si>
    <t>01.08. mengjes</t>
  </si>
  <si>
    <t>24.07 ora 16</t>
  </si>
  <si>
    <t>25.07 ora 9</t>
  </si>
  <si>
    <t>25.07 ora 16</t>
  </si>
  <si>
    <t>27.07 ora 10</t>
  </si>
  <si>
    <t>28.07 ora 16</t>
  </si>
  <si>
    <t>28.08 ora 16</t>
  </si>
  <si>
    <t xml:space="preserve">31.07 ora 9 </t>
  </si>
  <si>
    <t>31.07 ora 15</t>
  </si>
  <si>
    <t xml:space="preserve">01.08.  9 </t>
  </si>
  <si>
    <t>01.08 ora 16</t>
  </si>
  <si>
    <t>07.08 ora 16</t>
  </si>
  <si>
    <t>08.08 ora 16</t>
  </si>
  <si>
    <t>Mergim Hajdari</t>
  </si>
  <si>
    <t>044 341 942</t>
  </si>
  <si>
    <t>03.08 ora17</t>
  </si>
  <si>
    <t>04.08.masdite</t>
  </si>
  <si>
    <t>06.08 ora 10</t>
  </si>
  <si>
    <t>Remzi Pajaziti</t>
  </si>
  <si>
    <t>Valmir Memeti</t>
  </si>
  <si>
    <t>09.08 ora 9</t>
  </si>
  <si>
    <t>09.08.masdite</t>
  </si>
  <si>
    <t>Perparimi</t>
  </si>
  <si>
    <t>049 770 065</t>
  </si>
  <si>
    <t>05.08.paradite</t>
  </si>
  <si>
    <t>04.08 ora10</t>
  </si>
  <si>
    <t>049 549 616</t>
  </si>
  <si>
    <t>05.08 ora17</t>
  </si>
  <si>
    <t>06.08.paradite</t>
  </si>
  <si>
    <t>Jetoni</t>
  </si>
  <si>
    <t>048 180 393</t>
  </si>
  <si>
    <t>044 574 050</t>
  </si>
  <si>
    <t>049 234 662</t>
  </si>
  <si>
    <t>044 183 517</t>
  </si>
  <si>
    <t xml:space="preserve"> 049 704 260</t>
  </si>
  <si>
    <t xml:space="preserve"> 044 193 748</t>
  </si>
  <si>
    <t>048 571 355</t>
  </si>
  <si>
    <t>044 342 603</t>
  </si>
  <si>
    <t>045 401 500</t>
  </si>
  <si>
    <t>045 315 989</t>
  </si>
  <si>
    <t>08.08.ora17</t>
  </si>
  <si>
    <t>09.08.mengjes</t>
  </si>
  <si>
    <t>09.08.202</t>
  </si>
  <si>
    <t>10.08.mengjes</t>
  </si>
  <si>
    <t xml:space="preserve">Dalipi/Rinori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</si>
</sst>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\€\ #,##0.00"/>
    <numFmt numFmtId="166" formatCode="dd/mm/yyyy"/>
  </numFmts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sz val="11"/>
      <color rgb="FF9C0006"/>
      <name val="Calibri"/>
      <family val="2"/>
      <scheme val="minor"/>
    </font>
    <font>
      <sz val="11"/>
      <name val="Arial Rounded MT Bold"/>
      <family val="2"/>
    </font>
    <font>
      <sz val="11"/>
      <color rgb="FF9C0006"/>
      <name val="Arial Rounded MT Bold"/>
      <family val="2"/>
    </font>
    <font>
      <sz val="11"/>
      <color theme="1"/>
      <name val="Arial Rounded MT Bold"/>
      <family val="2"/>
    </font>
    <font>
      <sz val="10"/>
      <name val="Arial Rounded MT Bold"/>
      <family val="2"/>
    </font>
    <font>
      <b/>
      <sz val="11"/>
      <name val="Arial Rounded MT 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9EAD3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6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5" borderId="0" xfId="0" applyFont="1" applyFill="1"/>
    <xf numFmtId="0" fontId="2" fillId="2" borderId="1" xfId="0" applyFont="1" applyFill="1" applyBorder="1" applyAlignment="1">
      <alignment horizontal="center" wrapText="1"/>
    </xf>
    <xf numFmtId="166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0" fontId="5" fillId="6" borderId="0" xfId="1"/>
    <xf numFmtId="0" fontId="0" fillId="0" borderId="0" xfId="0" applyAlignment="1">
      <alignment horizontal="center" vertical="center"/>
    </xf>
    <xf numFmtId="0" fontId="0" fillId="7" borderId="0" xfId="0" applyFill="1"/>
    <xf numFmtId="0" fontId="5" fillId="8" borderId="0" xfId="1" applyFill="1"/>
    <xf numFmtId="0" fontId="2" fillId="2" borderId="2" xfId="0" applyFont="1" applyFill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5" fillId="10" borderId="0" xfId="1" applyFill="1"/>
    <xf numFmtId="0" fontId="7" fillId="9" borderId="2" xfId="1" applyFont="1" applyFill="1" applyBorder="1"/>
    <xf numFmtId="0" fontId="6" fillId="9" borderId="2" xfId="0" applyFont="1" applyFill="1" applyBorder="1"/>
    <xf numFmtId="0" fontId="9" fillId="9" borderId="2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6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1" fontId="6" fillId="10" borderId="2" xfId="0" applyNumberFormat="1" applyFont="1" applyFill="1" applyBorder="1" applyAlignment="1">
      <alignment horizontal="left" vertical="center"/>
    </xf>
    <xf numFmtId="164" fontId="9" fillId="10" borderId="2" xfId="0" applyNumberFormat="1" applyFont="1" applyFill="1" applyBorder="1" applyAlignment="1">
      <alignment horizontal="left" vertical="center"/>
    </xf>
    <xf numFmtId="165" fontId="6" fillId="10" borderId="2" xfId="0" applyNumberFormat="1" applyFont="1" applyFill="1" applyBorder="1" applyAlignment="1">
      <alignment horizontal="left" vertical="center"/>
    </xf>
    <xf numFmtId="165" fontId="8" fillId="10" borderId="2" xfId="0" applyNumberFormat="1" applyFont="1" applyFill="1" applyBorder="1" applyAlignment="1">
      <alignment horizontal="left" vertical="center"/>
    </xf>
    <xf numFmtId="0" fontId="6" fillId="10" borderId="2" xfId="1" applyFont="1" applyFill="1" applyBorder="1" applyAlignment="1">
      <alignment horizontal="left" vertical="center"/>
    </xf>
    <xf numFmtId="0" fontId="9" fillId="10" borderId="2" xfId="1" applyFont="1" applyFill="1" applyBorder="1" applyAlignment="1">
      <alignment horizontal="left" vertical="center"/>
    </xf>
    <xf numFmtId="1" fontId="6" fillId="10" borderId="2" xfId="1" applyNumberFormat="1" applyFont="1" applyFill="1" applyBorder="1" applyAlignment="1">
      <alignment horizontal="left" vertical="center"/>
    </xf>
    <xf numFmtId="164" fontId="9" fillId="10" borderId="2" xfId="1" applyNumberFormat="1" applyFont="1" applyFill="1" applyBorder="1" applyAlignment="1">
      <alignment horizontal="left" vertical="center"/>
    </xf>
    <xf numFmtId="165" fontId="6" fillId="10" borderId="2" xfId="1" applyNumberFormat="1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top"/>
    </xf>
    <xf numFmtId="0" fontId="6" fillId="10" borderId="2" xfId="0" applyFont="1" applyFill="1" applyBorder="1"/>
    <xf numFmtId="0" fontId="9" fillId="10" borderId="2" xfId="0" applyFont="1" applyFill="1" applyBorder="1" applyAlignment="1">
      <alignment horizontal="center" vertical="center"/>
    </xf>
    <xf numFmtId="1" fontId="6" fillId="10" borderId="2" xfId="0" applyNumberFormat="1" applyFont="1" applyFill="1" applyBorder="1"/>
    <xf numFmtId="164" fontId="9" fillId="10" borderId="2" xfId="0" applyNumberFormat="1" applyFont="1" applyFill="1" applyBorder="1"/>
    <xf numFmtId="165" fontId="6" fillId="10" borderId="2" xfId="0" applyNumberFormat="1" applyFont="1" applyFill="1" applyBorder="1" applyAlignment="1">
      <alignment horizontal="left" vertical="top"/>
    </xf>
    <xf numFmtId="0" fontId="4" fillId="9" borderId="4" xfId="0" applyFont="1" applyFill="1" applyBorder="1"/>
    <xf numFmtId="0" fontId="10" fillId="9" borderId="1" xfId="0" applyFont="1" applyFill="1" applyBorder="1"/>
    <xf numFmtId="0" fontId="6" fillId="10" borderId="5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left" vertical="center"/>
    </xf>
    <xf numFmtId="1" fontId="6" fillId="10" borderId="5" xfId="0" applyNumberFormat="1" applyFont="1" applyFill="1" applyBorder="1" applyAlignment="1">
      <alignment horizontal="left" vertical="center"/>
    </xf>
    <xf numFmtId="164" fontId="9" fillId="10" borderId="5" xfId="0" applyNumberFormat="1" applyFont="1" applyFill="1" applyBorder="1" applyAlignment="1">
      <alignment horizontal="left" vertical="center"/>
    </xf>
    <xf numFmtId="165" fontId="6" fillId="10" borderId="5" xfId="0" applyNumberFormat="1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top"/>
    </xf>
    <xf numFmtId="0" fontId="0" fillId="0" borderId="2" xfId="0" applyBorder="1"/>
    <xf numFmtId="1" fontId="6" fillId="10" borderId="2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1" fontId="6" fillId="10" borderId="2" xfId="1" applyNumberFormat="1" applyFont="1" applyFill="1" applyBorder="1" applyAlignment="1">
      <alignment horizontal="center" vertical="center"/>
    </xf>
    <xf numFmtId="1" fontId="6" fillId="10" borderId="5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/>
    <xf numFmtId="165" fontId="6" fillId="10" borderId="2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wrapText="1"/>
    </xf>
  </cellXfs>
  <cellStyles count="2">
    <cellStyle name="Bad" xfId="1" builtinId="27"/>
    <cellStyle name="Normal" xfId="0" builtinId="0"/>
  </cellStyles>
  <dxfs count="13">
    <dxf>
      <font>
        <b/>
      </font>
      <fill>
        <patternFill patternType="solid">
          <bgColor rgb="FFFCA5A5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CA5A5"/>
        </patternFill>
      </fill>
    </dxf>
    <dxf>
      <font>
        <b/>
      </font>
      <fill>
        <patternFill patternType="solid">
          <bgColor rgb="FFFCA5A5"/>
        </patternFill>
      </fill>
    </dxf>
    <dxf>
      <font>
        <b/>
      </font>
      <fill>
        <patternFill patternType="solid">
          <bgColor rgb="FFFCA5A5"/>
        </patternFill>
      </fill>
    </dxf>
    <dxf>
      <font>
        <b/>
      </font>
      <fill>
        <patternFill patternType="solid">
          <bgColor rgb="FFFCA5A5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CA5A5"/>
        </patternFill>
      </fill>
    </dxf>
    <dxf>
      <fill>
        <patternFill patternType="solid">
          <bgColor rgb="FFDCFCE7"/>
        </patternFill>
      </fill>
    </dxf>
    <dxf>
      <border>
        <bottom style="thin">
          <color indexed="64"/>
        </bottom>
      </border>
    </dxf>
    <dxf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zervimetTable" displayName="RezervimetTable" ref="A1:M102" headerRowDxfId="12" headerRowBorderDxfId="11">
  <sortState xmlns:xlrd2="http://schemas.microsoft.com/office/spreadsheetml/2017/richdata2" ref="A2:M102">
    <sortCondition ref="L2:L102"/>
  </sortState>
  <tableColumns count="13">
    <tableColumn id="1" xr3:uid="{00000000-0010-0000-0000-000001000000}" name="Emri dhe Mbiemri"/>
    <tableColumn id="2" xr3:uid="{00000000-0010-0000-0000-000002000000}" name="Adresa"/>
    <tableColumn id="3" xr3:uid="{00000000-0010-0000-0000-000003000000}" name="Nr. Telefonit"/>
    <tableColumn id="4" xr3:uid="{00000000-0010-0000-0000-000004000000}" name="Tenda"/>
    <tableColumn id="5" xr3:uid="{00000000-0010-0000-0000-000005000000}" name="Karrika"/>
    <tableColumn id="6" xr3:uid="{00000000-0010-0000-0000-000006000000}" name="Tavolina"/>
    <tableColumn id="7" xr3:uid="{00000000-0010-0000-0000-000007000000}" name="Data &amp; Koha e Dërgesës"/>
    <tableColumn id="8" xr3:uid="{00000000-0010-0000-0000-000008000000}" name="Data &amp; Koha e Lirimit"/>
    <tableColumn id="9" xr3:uid="{00000000-0010-0000-0000-000009000000}" name="Çmimi (€)"/>
    <tableColumn id="10" xr3:uid="{00000000-0010-0000-0000-00000A000000}" name="Parapagimi (€)"/>
    <tableColumn id="11" xr3:uid="{00000000-0010-0000-0000-00000B000000}" name="Mbetja (€)"/>
    <tableColumn id="12" xr3:uid="{00000000-0010-0000-0000-00000C000000}" name="Statusi / Shënime"/>
    <tableColumn id="13" xr3:uid="{A26D3873-67C3-42B0-B133-339BC92203F5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orrik2026Table" displayName="Korrik2026Table" ref="A7:J17">
  <tableColumns count="10">
    <tableColumn id="1" xr3:uid="{00000000-0010-0000-0100-000001000000}" name="Data"/>
    <tableColumn id="2" xr3:uid="{00000000-0010-0000-0100-000002000000}" name="Dita"/>
    <tableColumn id="3" xr3:uid="{00000000-0010-0000-0100-000003000000}" name="Tenda zënë"/>
    <tableColumn id="4" xr3:uid="{00000000-0010-0000-0100-000004000000}" name="Tenda lirë"/>
    <tableColumn id="5" xr3:uid="{00000000-0010-0000-0100-000005000000}" name="Karrika zënë"/>
    <tableColumn id="6" xr3:uid="{00000000-0010-0000-0100-000006000000}" name="Karrika lirë"/>
    <tableColumn id="7" xr3:uid="{00000000-0010-0000-0100-000007000000}" name="Tavolina zënë"/>
    <tableColumn id="8" xr3:uid="{00000000-0010-0000-0100-000008000000}" name="Tavolina lirë"/>
    <tableColumn id="9" xr3:uid="{00000000-0010-0000-0100-000009000000}" name="Gjendja"/>
    <tableColumn id="10" xr3:uid="{00000000-0010-0000-0100-00000A000000}" name="Shën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usht2026Table" displayName="Gusht2026Table" ref="A7:J38">
  <tableColumns count="10">
    <tableColumn id="1" xr3:uid="{00000000-0010-0000-0200-000001000000}" name="Data"/>
    <tableColumn id="2" xr3:uid="{00000000-0010-0000-0200-000002000000}" name="Dita"/>
    <tableColumn id="3" xr3:uid="{00000000-0010-0000-0200-000003000000}" name="Tenda zënë"/>
    <tableColumn id="4" xr3:uid="{00000000-0010-0000-0200-000004000000}" name="Tenda lirë"/>
    <tableColumn id="5" xr3:uid="{00000000-0010-0000-0200-000005000000}" name="Karrika zënë"/>
    <tableColumn id="6" xr3:uid="{00000000-0010-0000-0200-000006000000}" name="Karrika lirë"/>
    <tableColumn id="7" xr3:uid="{00000000-0010-0000-0200-000007000000}" name="Tavolina zënë"/>
    <tableColumn id="8" xr3:uid="{00000000-0010-0000-0200-000008000000}" name="Tavolina lirë"/>
    <tableColumn id="9" xr3:uid="{00000000-0010-0000-0200-000009000000}" name="Gjendja"/>
    <tableColumn id="10" xr3:uid="{00000000-0010-0000-0200-00000A000000}" name="Shën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O29" sqref="O29"/>
    </sheetView>
  </sheetViews>
  <sheetFormatPr defaultRowHeight="14.25"/>
  <cols>
    <col min="1" max="1" width="18" customWidth="1"/>
    <col min="2" max="2" width="14" customWidth="1"/>
  </cols>
  <sheetData>
    <row r="1" spans="1:4" ht="18">
      <c r="A1" s="61" t="s">
        <v>0</v>
      </c>
      <c r="B1" s="62"/>
      <c r="C1" s="62"/>
      <c r="D1" s="62"/>
    </row>
    <row r="3" spans="1:4" ht="15">
      <c r="A3" s="1" t="s">
        <v>1</v>
      </c>
      <c r="B3" s="1" t="s">
        <v>2</v>
      </c>
    </row>
    <row r="4" spans="1:4">
      <c r="A4" s="2" t="s">
        <v>3</v>
      </c>
      <c r="B4" s="3">
        <v>2</v>
      </c>
    </row>
    <row r="5" spans="1:4">
      <c r="A5" s="2" t="s">
        <v>4</v>
      </c>
      <c r="B5" s="3">
        <v>200</v>
      </c>
    </row>
    <row r="6" spans="1:4">
      <c r="A6" s="2" t="s">
        <v>5</v>
      </c>
      <c r="B6" s="3">
        <v>32</v>
      </c>
    </row>
    <row r="8" spans="1:4">
      <c r="A8" s="63" t="s">
        <v>6</v>
      </c>
      <c r="B8" s="62"/>
      <c r="C8" s="62"/>
      <c r="D8" s="62"/>
    </row>
  </sheetData>
  <mergeCells count="2">
    <mergeCell ref="A1:D1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"/>
  <sheetViews>
    <sheetView tabSelected="1" workbookViewId="0">
      <selection activeCell="J27" sqref="J27"/>
    </sheetView>
  </sheetViews>
  <sheetFormatPr defaultRowHeight="14.25"/>
  <cols>
    <col min="1" max="1" width="13.875" customWidth="1"/>
    <col min="2" max="2" width="9.25" customWidth="1"/>
    <col min="3" max="3" width="11" customWidth="1"/>
    <col min="4" max="4" width="2.375" customWidth="1"/>
    <col min="5" max="5" width="5.875" customWidth="1"/>
    <col min="6" max="6" width="4.75" customWidth="1"/>
    <col min="7" max="7" width="10.875" customWidth="1"/>
    <col min="8" max="8" width="13.125" customWidth="1"/>
    <col min="9" max="9" width="11.75" customWidth="1"/>
    <col min="10" max="10" width="10.125" customWidth="1"/>
    <col min="11" max="11" width="8.75" customWidth="1"/>
    <col min="12" max="12" width="6.75" customWidth="1"/>
    <col min="14" max="17" width="16" customWidth="1"/>
  </cols>
  <sheetData>
    <row r="1" spans="1:18" ht="83.25" customHeight="1">
      <c r="A1" s="16" t="s">
        <v>7</v>
      </c>
      <c r="B1" s="16" t="s">
        <v>8</v>
      </c>
      <c r="C1" s="16" t="s">
        <v>9</v>
      </c>
      <c r="D1" s="16" t="s">
        <v>3</v>
      </c>
      <c r="E1" s="16" t="s">
        <v>4</v>
      </c>
      <c r="F1" s="16" t="s">
        <v>5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7" t="s">
        <v>70</v>
      </c>
    </row>
    <row r="2" spans="1:18" s="15" customFormat="1" ht="18" customHeight="1">
      <c r="A2" s="28" t="s">
        <v>48</v>
      </c>
      <c r="B2" s="28" t="s">
        <v>49</v>
      </c>
      <c r="C2" s="29" t="s">
        <v>121</v>
      </c>
      <c r="D2" s="30"/>
      <c r="E2" s="54">
        <v>60</v>
      </c>
      <c r="F2" s="54">
        <v>10</v>
      </c>
      <c r="G2" s="31" t="s">
        <v>84</v>
      </c>
      <c r="H2" s="31" t="s">
        <v>54</v>
      </c>
      <c r="I2" s="32">
        <v>150</v>
      </c>
      <c r="J2" s="32">
        <v>150</v>
      </c>
      <c r="K2" s="32">
        <f>IF(I2="","",I2-J2)</f>
        <v>0</v>
      </c>
      <c r="L2" s="28">
        <v>724</v>
      </c>
      <c r="M2" s="19"/>
      <c r="N2"/>
      <c r="O2"/>
      <c r="P2"/>
      <c r="Q2"/>
      <c r="R2" s="18"/>
    </row>
    <row r="3" spans="1:18" s="12" customFormat="1" ht="18" customHeight="1">
      <c r="A3" s="28" t="s">
        <v>47</v>
      </c>
      <c r="B3" s="28" t="s">
        <v>63</v>
      </c>
      <c r="C3" s="29" t="s">
        <v>120</v>
      </c>
      <c r="D3" s="30">
        <v>1</v>
      </c>
      <c r="E3" s="54">
        <v>70</v>
      </c>
      <c r="F3" s="54">
        <v>12</v>
      </c>
      <c r="G3" s="31" t="s">
        <v>85</v>
      </c>
      <c r="H3" s="31" t="s">
        <v>55</v>
      </c>
      <c r="I3" s="32">
        <v>200</v>
      </c>
      <c r="J3" s="32">
        <v>200</v>
      </c>
      <c r="K3" s="32">
        <v>0</v>
      </c>
      <c r="L3" s="28">
        <v>724</v>
      </c>
      <c r="M3" s="19"/>
      <c r="N3"/>
      <c r="O3"/>
      <c r="P3"/>
      <c r="Q3" t="s">
        <v>73</v>
      </c>
    </row>
    <row r="4" spans="1:18" ht="18" customHeight="1">
      <c r="A4" s="28" t="s">
        <v>47</v>
      </c>
      <c r="B4" s="28" t="s">
        <v>63</v>
      </c>
      <c r="C4" s="29" t="s">
        <v>120</v>
      </c>
      <c r="D4" s="30"/>
      <c r="E4" s="54">
        <v>70</v>
      </c>
      <c r="F4" s="54">
        <v>9</v>
      </c>
      <c r="G4" s="31" t="s">
        <v>86</v>
      </c>
      <c r="H4" s="31" t="s">
        <v>57</v>
      </c>
      <c r="I4" s="32">
        <v>100</v>
      </c>
      <c r="J4" s="32">
        <v>100</v>
      </c>
      <c r="K4" s="32">
        <f t="shared" ref="K4:K10" si="0">IF(I4="","",I4-J4)</f>
        <v>0</v>
      </c>
      <c r="L4" s="28">
        <v>725</v>
      </c>
      <c r="M4" s="20"/>
    </row>
    <row r="5" spans="1:18" s="14" customFormat="1" ht="18" customHeight="1">
      <c r="A5" s="28" t="s">
        <v>65</v>
      </c>
      <c r="B5" s="28" t="s">
        <v>50</v>
      </c>
      <c r="C5" s="29" t="s">
        <v>119</v>
      </c>
      <c r="D5" s="30"/>
      <c r="E5" s="54">
        <v>100</v>
      </c>
      <c r="F5" s="55">
        <v>0</v>
      </c>
      <c r="G5" s="31" t="s">
        <v>87</v>
      </c>
      <c r="H5" s="31" t="s">
        <v>56</v>
      </c>
      <c r="I5" s="32">
        <v>100</v>
      </c>
      <c r="J5" s="32">
        <v>100</v>
      </c>
      <c r="K5" s="32">
        <f t="shared" si="0"/>
        <v>0</v>
      </c>
      <c r="L5" s="28">
        <v>727</v>
      </c>
      <c r="M5" s="20"/>
      <c r="N5"/>
      <c r="O5"/>
      <c r="P5"/>
      <c r="Q5"/>
    </row>
    <row r="6" spans="1:18" ht="18" customHeight="1">
      <c r="A6" s="28" t="s">
        <v>51</v>
      </c>
      <c r="B6" s="28" t="s">
        <v>52</v>
      </c>
      <c r="C6" s="29" t="s">
        <v>53</v>
      </c>
      <c r="D6" s="30"/>
      <c r="E6" s="54">
        <v>80</v>
      </c>
      <c r="F6" s="54">
        <v>13</v>
      </c>
      <c r="G6" s="31" t="s">
        <v>88</v>
      </c>
      <c r="H6" s="31" t="s">
        <v>58</v>
      </c>
      <c r="I6" s="32">
        <v>120</v>
      </c>
      <c r="J6" s="32">
        <v>120</v>
      </c>
      <c r="K6" s="32">
        <f t="shared" si="0"/>
        <v>0</v>
      </c>
      <c r="L6" s="28">
        <v>728</v>
      </c>
      <c r="M6" s="20"/>
    </row>
    <row r="7" spans="1:18" ht="18" customHeight="1">
      <c r="A7" s="28" t="s">
        <v>64</v>
      </c>
      <c r="B7" s="28" t="s">
        <v>52</v>
      </c>
      <c r="C7" s="29" t="s">
        <v>116</v>
      </c>
      <c r="D7" s="30"/>
      <c r="E7" s="54">
        <v>40</v>
      </c>
      <c r="F7" s="54">
        <v>7</v>
      </c>
      <c r="G7" s="31" t="s">
        <v>89</v>
      </c>
      <c r="H7" s="31" t="s">
        <v>58</v>
      </c>
      <c r="I7" s="32">
        <v>70</v>
      </c>
      <c r="J7" s="32">
        <v>70</v>
      </c>
      <c r="K7" s="33">
        <f t="shared" si="0"/>
        <v>0</v>
      </c>
      <c r="L7" s="28">
        <v>728</v>
      </c>
      <c r="M7" s="20"/>
    </row>
    <row r="8" spans="1:18" ht="18" customHeight="1">
      <c r="A8" s="28" t="s">
        <v>51</v>
      </c>
      <c r="B8" s="28" t="s">
        <v>52</v>
      </c>
      <c r="C8" s="29" t="s">
        <v>117</v>
      </c>
      <c r="D8" s="30"/>
      <c r="E8" s="54">
        <v>150</v>
      </c>
      <c r="F8" s="54">
        <v>4</v>
      </c>
      <c r="G8" s="31" t="s">
        <v>90</v>
      </c>
      <c r="H8" s="31" t="s">
        <v>59</v>
      </c>
      <c r="I8" s="32">
        <v>130</v>
      </c>
      <c r="J8" s="32">
        <v>130</v>
      </c>
      <c r="K8" s="32">
        <f t="shared" si="0"/>
        <v>0</v>
      </c>
      <c r="L8" s="28">
        <v>730</v>
      </c>
      <c r="M8" s="20"/>
    </row>
    <row r="9" spans="1:18" ht="18" customHeight="1">
      <c r="A9" s="28" t="s">
        <v>45</v>
      </c>
      <c r="B9" s="28" t="s">
        <v>46</v>
      </c>
      <c r="C9" s="29" t="s">
        <v>118</v>
      </c>
      <c r="D9" s="30"/>
      <c r="E9" s="54">
        <v>100</v>
      </c>
      <c r="F9" s="54">
        <v>6</v>
      </c>
      <c r="G9" s="31" t="s">
        <v>59</v>
      </c>
      <c r="H9" s="31" t="s">
        <v>60</v>
      </c>
      <c r="I9" s="32">
        <v>100</v>
      </c>
      <c r="J9" s="32">
        <v>100</v>
      </c>
      <c r="K9" s="32">
        <f t="shared" si="0"/>
        <v>0</v>
      </c>
      <c r="L9" s="28">
        <v>731</v>
      </c>
      <c r="M9" s="20"/>
    </row>
    <row r="10" spans="1:18" ht="18" customHeight="1">
      <c r="A10" s="28" t="s">
        <v>79</v>
      </c>
      <c r="B10" s="28" t="s">
        <v>71</v>
      </c>
      <c r="C10" s="29" t="s">
        <v>113</v>
      </c>
      <c r="D10" s="30"/>
      <c r="E10" s="54">
        <v>40</v>
      </c>
      <c r="F10" s="54">
        <v>7</v>
      </c>
      <c r="G10" s="31" t="s">
        <v>91</v>
      </c>
      <c r="H10" s="31" t="s">
        <v>72</v>
      </c>
      <c r="I10" s="32">
        <v>70</v>
      </c>
      <c r="J10" s="32">
        <v>70</v>
      </c>
      <c r="K10" s="32">
        <f t="shared" si="0"/>
        <v>0</v>
      </c>
      <c r="L10" s="28">
        <v>731</v>
      </c>
      <c r="M10" s="20"/>
    </row>
    <row r="11" spans="1:18" ht="18" customHeight="1">
      <c r="A11" s="28" t="s">
        <v>82</v>
      </c>
      <c r="B11" s="28" t="s">
        <v>52</v>
      </c>
      <c r="C11" s="29" t="s">
        <v>115</v>
      </c>
      <c r="D11" s="30"/>
      <c r="E11" s="54">
        <v>20</v>
      </c>
      <c r="F11" s="54">
        <v>5</v>
      </c>
      <c r="G11" s="31" t="s">
        <v>91</v>
      </c>
      <c r="H11" s="31" t="s">
        <v>83</v>
      </c>
      <c r="I11" s="32">
        <v>40</v>
      </c>
      <c r="J11" s="32">
        <v>40</v>
      </c>
      <c r="K11" s="32">
        <f>RezervimetTable[[#This Row],[Çmimi (€)]]-RezervimetTable[[#This Row],[Parapagimi (€)]]</f>
        <v>0</v>
      </c>
      <c r="L11" s="28">
        <v>731</v>
      </c>
      <c r="M11" s="20"/>
    </row>
    <row r="12" spans="1:18" ht="18" customHeight="1">
      <c r="A12" s="28" t="s">
        <v>43</v>
      </c>
      <c r="B12" s="28" t="s">
        <v>44</v>
      </c>
      <c r="C12" s="29" t="s">
        <v>74</v>
      </c>
      <c r="D12" s="30"/>
      <c r="E12" s="54">
        <v>90</v>
      </c>
      <c r="F12" s="55">
        <v>0</v>
      </c>
      <c r="G12" s="31" t="s">
        <v>92</v>
      </c>
      <c r="H12" s="31" t="s">
        <v>61</v>
      </c>
      <c r="I12" s="32">
        <v>80</v>
      </c>
      <c r="J12" s="32">
        <v>80</v>
      </c>
      <c r="K12" s="32">
        <f>IF(I12="","",I12-J12)</f>
        <v>0</v>
      </c>
      <c r="L12" s="28">
        <v>801</v>
      </c>
      <c r="M12" s="20"/>
    </row>
    <row r="13" spans="1:18" ht="18" customHeight="1">
      <c r="A13" s="28" t="s">
        <v>66</v>
      </c>
      <c r="B13" s="28" t="s">
        <v>67</v>
      </c>
      <c r="C13" s="29" t="s">
        <v>68</v>
      </c>
      <c r="D13" s="30"/>
      <c r="E13" s="54">
        <v>50</v>
      </c>
      <c r="F13" s="54">
        <v>9</v>
      </c>
      <c r="G13" s="31" t="s">
        <v>93</v>
      </c>
      <c r="H13" s="31" t="s">
        <v>69</v>
      </c>
      <c r="I13" s="32">
        <v>90</v>
      </c>
      <c r="J13" s="32">
        <v>90</v>
      </c>
      <c r="K13" s="32">
        <f>IF(I13="","",I13-J13)</f>
        <v>0</v>
      </c>
      <c r="L13" s="28">
        <v>801</v>
      </c>
      <c r="M13" s="21"/>
    </row>
    <row r="14" spans="1:18" ht="18" customHeight="1">
      <c r="A14" s="28" t="s">
        <v>96</v>
      </c>
      <c r="B14" s="28" t="s">
        <v>52</v>
      </c>
      <c r="C14" s="29" t="s">
        <v>97</v>
      </c>
      <c r="D14" s="30"/>
      <c r="E14" s="54">
        <v>70</v>
      </c>
      <c r="F14" s="54">
        <v>12</v>
      </c>
      <c r="G14" s="31" t="s">
        <v>98</v>
      </c>
      <c r="H14" s="31" t="s">
        <v>99</v>
      </c>
      <c r="I14" s="32">
        <v>100</v>
      </c>
      <c r="J14" s="32">
        <v>100</v>
      </c>
      <c r="K14" s="32">
        <f>RezervimetTable[[#This Row],[Çmimi (€)]]-RezervimetTable[[#This Row],[Parapagimi (€)]]</f>
        <v>0</v>
      </c>
      <c r="L14" s="28">
        <v>803</v>
      </c>
      <c r="M14" s="21"/>
    </row>
    <row r="15" spans="1:18" ht="18" customHeight="1">
      <c r="A15" s="28" t="s">
        <v>105</v>
      </c>
      <c r="B15" s="28" t="s">
        <v>44</v>
      </c>
      <c r="C15" s="29" t="s">
        <v>106</v>
      </c>
      <c r="D15" s="30"/>
      <c r="E15" s="54">
        <v>40</v>
      </c>
      <c r="F15" s="54">
        <v>7</v>
      </c>
      <c r="G15" s="31" t="s">
        <v>108</v>
      </c>
      <c r="H15" s="31" t="s">
        <v>107</v>
      </c>
      <c r="I15" s="32">
        <v>60</v>
      </c>
      <c r="J15" s="32">
        <v>60</v>
      </c>
      <c r="K15" s="32">
        <f>RezervimetTable[[#This Row],[Çmimi (€)]]-RezervimetTable[[#This Row],[Parapagimi (€)]]</f>
        <v>0</v>
      </c>
      <c r="L15" s="28">
        <v>804</v>
      </c>
      <c r="M15" s="21"/>
    </row>
    <row r="16" spans="1:18" ht="18" customHeight="1">
      <c r="A16" s="28" t="s">
        <v>112</v>
      </c>
      <c r="B16" s="28" t="s">
        <v>52</v>
      </c>
      <c r="C16" s="29" t="s">
        <v>109</v>
      </c>
      <c r="D16" s="30"/>
      <c r="E16" s="54">
        <v>50</v>
      </c>
      <c r="F16" s="54">
        <v>8</v>
      </c>
      <c r="G16" s="31" t="s">
        <v>110</v>
      </c>
      <c r="H16" s="31" t="s">
        <v>111</v>
      </c>
      <c r="I16" s="32">
        <v>80</v>
      </c>
      <c r="J16" s="32">
        <v>80</v>
      </c>
      <c r="K16" s="32">
        <f>RezervimetTable[[#This Row],[Çmimi (€)]]-RezervimetTable[[#This Row],[Parapagimi (€)]]</f>
        <v>0</v>
      </c>
      <c r="L16" s="28">
        <v>805</v>
      </c>
      <c r="M16" s="21"/>
    </row>
    <row r="17" spans="1:13" ht="18" customHeight="1">
      <c r="A17" s="28" t="s">
        <v>75</v>
      </c>
      <c r="B17" s="28" t="s">
        <v>76</v>
      </c>
      <c r="C17" s="29" t="s">
        <v>78</v>
      </c>
      <c r="D17" s="30"/>
      <c r="E17" s="54">
        <v>100</v>
      </c>
      <c r="F17" s="54">
        <v>16</v>
      </c>
      <c r="G17" s="31" t="s">
        <v>100</v>
      </c>
      <c r="H17" s="31" t="s">
        <v>77</v>
      </c>
      <c r="I17" s="32">
        <v>150</v>
      </c>
      <c r="J17" s="32">
        <v>150</v>
      </c>
      <c r="K17" s="32">
        <f t="shared" ref="K17:K48" si="1">IF(I17="","",I17-J17)</f>
        <v>0</v>
      </c>
      <c r="L17" s="28">
        <v>806</v>
      </c>
      <c r="M17" s="20"/>
    </row>
    <row r="18" spans="1:13" ht="18" customHeight="1">
      <c r="A18" s="34" t="s">
        <v>38</v>
      </c>
      <c r="B18" s="34" t="s">
        <v>39</v>
      </c>
      <c r="C18" s="35" t="s">
        <v>122</v>
      </c>
      <c r="D18" s="36"/>
      <c r="E18" s="56">
        <v>150</v>
      </c>
      <c r="F18" s="56">
        <v>25</v>
      </c>
      <c r="G18" s="37" t="s">
        <v>94</v>
      </c>
      <c r="H18" s="37" t="s">
        <v>62</v>
      </c>
      <c r="I18" s="38">
        <v>220</v>
      </c>
      <c r="J18" s="38">
        <v>220</v>
      </c>
      <c r="K18" s="38">
        <f t="shared" si="1"/>
        <v>0</v>
      </c>
      <c r="L18" s="34">
        <v>807</v>
      </c>
      <c r="M18" s="22"/>
    </row>
    <row r="19" spans="1:13" ht="18" customHeight="1">
      <c r="A19" s="28" t="s">
        <v>101</v>
      </c>
      <c r="B19" s="28" t="s">
        <v>80</v>
      </c>
      <c r="C19" s="29" t="s">
        <v>114</v>
      </c>
      <c r="D19" s="30">
        <v>1</v>
      </c>
      <c r="E19" s="54">
        <v>80</v>
      </c>
      <c r="F19" s="54">
        <v>13</v>
      </c>
      <c r="G19" s="31" t="s">
        <v>95</v>
      </c>
      <c r="H19" s="31" t="s">
        <v>81</v>
      </c>
      <c r="I19" s="32">
        <v>200</v>
      </c>
      <c r="J19" s="32">
        <v>200</v>
      </c>
      <c r="K19" s="32">
        <f t="shared" si="1"/>
        <v>0</v>
      </c>
      <c r="L19" s="39">
        <v>808</v>
      </c>
      <c r="M19" s="20"/>
    </row>
    <row r="20" spans="1:13" ht="18" customHeight="1">
      <c r="A20" s="40" t="s">
        <v>105</v>
      </c>
      <c r="B20" s="40" t="s">
        <v>44</v>
      </c>
      <c r="C20" s="41" t="s">
        <v>106</v>
      </c>
      <c r="D20" s="42"/>
      <c r="E20" s="54">
        <v>40</v>
      </c>
      <c r="F20" s="54">
        <v>6</v>
      </c>
      <c r="G20" s="43" t="s">
        <v>123</v>
      </c>
      <c r="H20" s="43" t="s">
        <v>124</v>
      </c>
      <c r="I20" s="44">
        <v>50</v>
      </c>
      <c r="J20" s="44">
        <v>50</v>
      </c>
      <c r="K20" s="44">
        <f t="shared" si="1"/>
        <v>0</v>
      </c>
      <c r="L20" s="39">
        <v>808</v>
      </c>
      <c r="M20" s="45"/>
    </row>
    <row r="21" spans="1:13" ht="18" customHeight="1">
      <c r="A21" s="47" t="s">
        <v>102</v>
      </c>
      <c r="B21" s="47" t="s">
        <v>46</v>
      </c>
      <c r="C21" s="48"/>
      <c r="D21" s="49">
        <v>1</v>
      </c>
      <c r="E21" s="57">
        <v>60</v>
      </c>
      <c r="F21" s="57">
        <v>4</v>
      </c>
      <c r="G21" s="50" t="s">
        <v>103</v>
      </c>
      <c r="H21" s="50" t="s">
        <v>104</v>
      </c>
      <c r="I21" s="51">
        <v>170</v>
      </c>
      <c r="J21" s="51">
        <v>170</v>
      </c>
      <c r="K21" s="51">
        <f t="shared" si="1"/>
        <v>0</v>
      </c>
      <c r="L21" s="52">
        <v>809</v>
      </c>
      <c r="M21" s="46"/>
    </row>
    <row r="22" spans="1:13" ht="18" customHeight="1">
      <c r="A22" s="40" t="s">
        <v>127</v>
      </c>
      <c r="B22" s="40" t="s">
        <v>52</v>
      </c>
      <c r="C22" s="58"/>
      <c r="D22" s="42"/>
      <c r="E22" s="54">
        <v>20</v>
      </c>
      <c r="F22" s="54">
        <v>3</v>
      </c>
      <c r="G22" s="59" t="s">
        <v>125</v>
      </c>
      <c r="H22" s="43" t="s">
        <v>126</v>
      </c>
      <c r="I22" s="60">
        <v>30</v>
      </c>
      <c r="J22" s="44">
        <v>30</v>
      </c>
      <c r="K22" s="60">
        <f t="shared" si="1"/>
        <v>0</v>
      </c>
      <c r="L22" s="28">
        <v>809</v>
      </c>
      <c r="M22" s="53"/>
    </row>
    <row r="23" spans="1:13" ht="18" customHeight="1">
      <c r="A23" s="23"/>
      <c r="B23" s="23"/>
      <c r="C23" s="24"/>
      <c r="D23" s="25"/>
      <c r="E23" s="25"/>
      <c r="F23" s="25"/>
      <c r="G23" s="26"/>
      <c r="H23" s="26"/>
      <c r="I23" s="27"/>
      <c r="J23" s="27"/>
      <c r="K23" s="27" t="str">
        <f t="shared" si="1"/>
        <v/>
      </c>
      <c r="L23" s="24"/>
    </row>
    <row r="24" spans="1:13" ht="18" customHeight="1">
      <c r="A24" s="23"/>
      <c r="B24" s="23"/>
      <c r="C24" s="24"/>
      <c r="D24" s="25"/>
      <c r="E24" s="25"/>
      <c r="F24" s="25"/>
      <c r="G24" s="26"/>
      <c r="H24" s="26"/>
      <c r="I24" s="27"/>
      <c r="J24" s="27"/>
      <c r="K24" s="27" t="str">
        <f t="shared" si="1"/>
        <v/>
      </c>
      <c r="L24" s="24"/>
    </row>
    <row r="25" spans="1:13" ht="18" customHeight="1">
      <c r="A25" s="23"/>
      <c r="B25" s="23"/>
      <c r="C25" s="24"/>
      <c r="D25" s="25"/>
      <c r="E25" s="25"/>
      <c r="F25" s="25"/>
      <c r="G25" s="26"/>
      <c r="H25" s="26"/>
      <c r="I25" s="27"/>
      <c r="J25" s="27"/>
      <c r="K25" s="27" t="str">
        <f t="shared" si="1"/>
        <v/>
      </c>
      <c r="L25" s="24"/>
    </row>
    <row r="26" spans="1:13" ht="18" customHeight="1">
      <c r="A26" s="23"/>
      <c r="B26" s="23"/>
      <c r="C26" s="24"/>
      <c r="D26" s="25"/>
      <c r="E26" s="25"/>
      <c r="F26" s="25"/>
      <c r="G26" s="26"/>
      <c r="H26" s="26"/>
      <c r="I26" s="27"/>
      <c r="J26" s="27"/>
      <c r="K26" s="27" t="str">
        <f t="shared" si="1"/>
        <v/>
      </c>
      <c r="L26" s="24"/>
    </row>
    <row r="27" spans="1:13" ht="18" customHeight="1">
      <c r="A27" s="23"/>
      <c r="B27" s="23"/>
      <c r="C27" s="24"/>
      <c r="D27" s="25"/>
      <c r="E27" s="25"/>
      <c r="F27" s="25"/>
      <c r="G27" s="26"/>
      <c r="H27" s="26"/>
      <c r="I27" s="27"/>
      <c r="J27" s="27"/>
      <c r="K27" s="27" t="str">
        <f t="shared" si="1"/>
        <v/>
      </c>
      <c r="L27" s="23"/>
    </row>
    <row r="28" spans="1:13" ht="18" customHeight="1">
      <c r="C28" s="13"/>
      <c r="D28" s="6"/>
      <c r="E28" s="6"/>
      <c r="F28" s="6"/>
      <c r="G28" s="4"/>
      <c r="H28" s="4"/>
      <c r="I28" s="5"/>
      <c r="J28" s="5"/>
      <c r="K28" s="5" t="str">
        <f t="shared" si="1"/>
        <v/>
      </c>
    </row>
    <row r="29" spans="1:13" ht="18" customHeight="1">
      <c r="C29" s="13"/>
      <c r="D29" s="6"/>
      <c r="E29" s="6"/>
      <c r="F29" s="6"/>
      <c r="G29" s="4"/>
      <c r="H29" s="4"/>
      <c r="I29" s="5"/>
      <c r="J29" s="5"/>
      <c r="K29" s="5" t="str">
        <f t="shared" si="1"/>
        <v/>
      </c>
    </row>
    <row r="30" spans="1:13">
      <c r="C30" s="13"/>
      <c r="D30" s="6"/>
      <c r="E30" s="6"/>
      <c r="F30" s="6"/>
      <c r="G30" s="4"/>
      <c r="H30" s="4"/>
      <c r="I30" s="5"/>
      <c r="J30" s="5"/>
      <c r="K30" s="5" t="str">
        <f t="shared" si="1"/>
        <v/>
      </c>
    </row>
    <row r="31" spans="1:13">
      <c r="C31" s="13"/>
      <c r="D31" s="6"/>
      <c r="E31" s="6"/>
      <c r="F31" s="6"/>
      <c r="G31" s="4"/>
      <c r="H31" s="4"/>
      <c r="I31" s="5"/>
      <c r="J31" s="5"/>
      <c r="K31" s="5" t="str">
        <f t="shared" si="1"/>
        <v/>
      </c>
    </row>
    <row r="32" spans="1:13">
      <c r="C32" s="13"/>
      <c r="D32" s="6"/>
      <c r="E32" s="6"/>
      <c r="F32" s="6"/>
      <c r="G32" s="4"/>
      <c r="H32" s="4"/>
      <c r="I32" s="5"/>
      <c r="J32" s="5"/>
      <c r="K32" s="5" t="str">
        <f t="shared" si="1"/>
        <v/>
      </c>
    </row>
    <row r="33" spans="3:11">
      <c r="C33" s="13"/>
      <c r="D33" s="6"/>
      <c r="E33" s="6"/>
      <c r="F33" s="6"/>
      <c r="G33" s="4"/>
      <c r="H33" s="4"/>
      <c r="I33" s="5"/>
      <c r="J33" s="5"/>
      <c r="K33" s="5" t="str">
        <f t="shared" si="1"/>
        <v/>
      </c>
    </row>
    <row r="34" spans="3:11">
      <c r="D34" s="6"/>
      <c r="E34" s="6"/>
      <c r="F34" s="6"/>
      <c r="G34" s="4"/>
      <c r="H34" s="4"/>
      <c r="I34" s="5"/>
      <c r="J34" s="5"/>
      <c r="K34" s="5" t="str">
        <f t="shared" si="1"/>
        <v/>
      </c>
    </row>
    <row r="35" spans="3:11">
      <c r="D35" s="6"/>
      <c r="E35" s="6"/>
      <c r="F35" s="6"/>
      <c r="G35" s="4"/>
      <c r="H35" s="4"/>
      <c r="I35" s="5"/>
      <c r="J35" s="5"/>
      <c r="K35" s="5" t="str">
        <f t="shared" si="1"/>
        <v/>
      </c>
    </row>
    <row r="36" spans="3:11">
      <c r="D36" s="6"/>
      <c r="E36" s="6"/>
      <c r="F36" s="6"/>
      <c r="G36" s="4"/>
      <c r="H36" s="4"/>
      <c r="I36" s="5"/>
      <c r="J36" s="5"/>
      <c r="K36" s="5" t="str">
        <f t="shared" si="1"/>
        <v/>
      </c>
    </row>
    <row r="37" spans="3:11">
      <c r="D37" s="6"/>
      <c r="E37" s="6"/>
      <c r="F37" s="6"/>
      <c r="G37" s="4"/>
      <c r="H37" s="4"/>
      <c r="I37" s="5"/>
      <c r="J37" s="5"/>
      <c r="K37" s="5" t="str">
        <f t="shared" si="1"/>
        <v/>
      </c>
    </row>
    <row r="38" spans="3:11">
      <c r="D38" s="6"/>
      <c r="E38" s="6"/>
      <c r="F38" s="6"/>
      <c r="G38" s="4"/>
      <c r="H38" s="4"/>
      <c r="I38" s="5"/>
      <c r="J38" s="5"/>
      <c r="K38" s="5" t="str">
        <f t="shared" si="1"/>
        <v/>
      </c>
    </row>
    <row r="39" spans="3:11">
      <c r="D39" s="6"/>
      <c r="E39" s="6"/>
      <c r="F39" s="6"/>
      <c r="G39" s="4"/>
      <c r="H39" s="4"/>
      <c r="I39" s="5"/>
      <c r="J39" s="5"/>
      <c r="K39" s="5" t="str">
        <f t="shared" si="1"/>
        <v/>
      </c>
    </row>
    <row r="40" spans="3:11">
      <c r="D40" s="6"/>
      <c r="E40" s="6"/>
      <c r="F40" s="6"/>
      <c r="G40" s="4"/>
      <c r="H40" s="4"/>
      <c r="I40" s="5"/>
      <c r="J40" s="5"/>
      <c r="K40" s="5" t="str">
        <f t="shared" si="1"/>
        <v/>
      </c>
    </row>
    <row r="41" spans="3:11">
      <c r="D41" s="6"/>
      <c r="E41" s="6"/>
      <c r="F41" s="6"/>
      <c r="G41" s="4"/>
      <c r="H41" s="4"/>
      <c r="I41" s="5"/>
      <c r="J41" s="5"/>
      <c r="K41" s="5" t="str">
        <f t="shared" si="1"/>
        <v/>
      </c>
    </row>
    <row r="42" spans="3:11">
      <c r="D42" s="6"/>
      <c r="E42" s="6"/>
      <c r="F42" s="6"/>
      <c r="G42" s="4"/>
      <c r="H42" s="4"/>
      <c r="I42" s="5"/>
      <c r="J42" s="5"/>
      <c r="K42" s="5" t="str">
        <f t="shared" si="1"/>
        <v/>
      </c>
    </row>
    <row r="43" spans="3:11">
      <c r="D43" s="6"/>
      <c r="E43" s="6"/>
      <c r="F43" s="6"/>
      <c r="G43" s="4"/>
      <c r="H43" s="4"/>
      <c r="I43" s="5"/>
      <c r="J43" s="5"/>
      <c r="K43" s="5" t="str">
        <f t="shared" si="1"/>
        <v/>
      </c>
    </row>
    <row r="44" spans="3:11">
      <c r="D44" s="6"/>
      <c r="E44" s="6"/>
      <c r="F44" s="6"/>
      <c r="G44" s="4"/>
      <c r="H44" s="4"/>
      <c r="I44" s="5"/>
      <c r="J44" s="5"/>
      <c r="K44" s="5" t="str">
        <f t="shared" si="1"/>
        <v/>
      </c>
    </row>
    <row r="45" spans="3:11">
      <c r="D45" s="6"/>
      <c r="E45" s="6"/>
      <c r="F45" s="6"/>
      <c r="G45" s="4"/>
      <c r="H45" s="4"/>
      <c r="I45" s="5"/>
      <c r="J45" s="5"/>
      <c r="K45" s="5" t="str">
        <f t="shared" si="1"/>
        <v/>
      </c>
    </row>
    <row r="46" spans="3:11">
      <c r="D46" s="6"/>
      <c r="E46" s="6"/>
      <c r="F46" s="6"/>
      <c r="G46" s="4"/>
      <c r="H46" s="4"/>
      <c r="I46" s="5"/>
      <c r="J46" s="5"/>
      <c r="K46" s="5" t="str">
        <f t="shared" si="1"/>
        <v/>
      </c>
    </row>
    <row r="47" spans="3:11">
      <c r="D47" s="6"/>
      <c r="E47" s="6"/>
      <c r="F47" s="6"/>
      <c r="G47" s="4"/>
      <c r="H47" s="4"/>
      <c r="I47" s="5"/>
      <c r="J47" s="5"/>
      <c r="K47" s="5" t="str">
        <f t="shared" si="1"/>
        <v/>
      </c>
    </row>
    <row r="48" spans="3:11">
      <c r="D48" s="6"/>
      <c r="E48" s="6"/>
      <c r="F48" s="6"/>
      <c r="G48" s="4"/>
      <c r="H48" s="4"/>
      <c r="I48" s="5"/>
      <c r="J48" s="5"/>
      <c r="K48" s="5" t="str">
        <f t="shared" si="1"/>
        <v/>
      </c>
    </row>
    <row r="49" spans="4:11">
      <c r="D49" s="6"/>
      <c r="E49" s="6"/>
      <c r="F49" s="6"/>
      <c r="G49" s="4"/>
      <c r="H49" s="4"/>
      <c r="I49" s="5"/>
      <c r="J49" s="5"/>
      <c r="K49" s="5" t="str">
        <f t="shared" ref="K49:K80" si="2">IF(I49="","",I49-J49)</f>
        <v/>
      </c>
    </row>
    <row r="50" spans="4:11">
      <c r="D50" s="6"/>
      <c r="E50" s="6"/>
      <c r="F50" s="6"/>
      <c r="G50" s="4"/>
      <c r="H50" s="4"/>
      <c r="I50" s="5"/>
      <c r="J50" s="5"/>
      <c r="K50" s="5" t="str">
        <f t="shared" si="2"/>
        <v/>
      </c>
    </row>
    <row r="51" spans="4:11">
      <c r="D51" s="6"/>
      <c r="E51" s="6"/>
      <c r="F51" s="6"/>
      <c r="G51" s="4"/>
      <c r="H51" s="4"/>
      <c r="I51" s="5"/>
      <c r="J51" s="5"/>
      <c r="K51" s="5" t="str">
        <f t="shared" si="2"/>
        <v/>
      </c>
    </row>
    <row r="52" spans="4:11">
      <c r="D52" s="6"/>
      <c r="E52" s="6"/>
      <c r="F52" s="6"/>
      <c r="G52" s="4"/>
      <c r="H52" s="4"/>
      <c r="I52" s="5"/>
      <c r="J52" s="5"/>
      <c r="K52" s="5" t="str">
        <f t="shared" si="2"/>
        <v/>
      </c>
    </row>
    <row r="53" spans="4:11">
      <c r="D53" s="6"/>
      <c r="E53" s="6"/>
      <c r="F53" s="6"/>
      <c r="G53" s="4"/>
      <c r="H53" s="4"/>
      <c r="I53" s="5"/>
      <c r="J53" s="5"/>
      <c r="K53" s="5" t="str">
        <f t="shared" si="2"/>
        <v/>
      </c>
    </row>
    <row r="54" spans="4:11">
      <c r="D54" s="6"/>
      <c r="E54" s="6"/>
      <c r="F54" s="6"/>
      <c r="G54" s="4"/>
      <c r="H54" s="4"/>
      <c r="I54" s="5"/>
      <c r="J54" s="5"/>
      <c r="K54" s="5" t="str">
        <f t="shared" si="2"/>
        <v/>
      </c>
    </row>
    <row r="55" spans="4:11">
      <c r="D55" s="6"/>
      <c r="E55" s="6"/>
      <c r="F55" s="6"/>
      <c r="G55" s="4"/>
      <c r="H55" s="4"/>
      <c r="I55" s="5"/>
      <c r="J55" s="5"/>
      <c r="K55" s="5" t="str">
        <f t="shared" si="2"/>
        <v/>
      </c>
    </row>
    <row r="56" spans="4:11">
      <c r="D56" s="6"/>
      <c r="E56" s="6"/>
      <c r="F56" s="6"/>
      <c r="G56" s="4"/>
      <c r="H56" s="4"/>
      <c r="I56" s="5"/>
      <c r="J56" s="5"/>
      <c r="K56" s="5" t="str">
        <f t="shared" si="2"/>
        <v/>
      </c>
    </row>
    <row r="57" spans="4:11">
      <c r="D57" s="6"/>
      <c r="E57" s="6"/>
      <c r="F57" s="6"/>
      <c r="G57" s="4"/>
      <c r="H57" s="4"/>
      <c r="I57" s="5"/>
      <c r="J57" s="5"/>
      <c r="K57" s="5" t="str">
        <f t="shared" si="2"/>
        <v/>
      </c>
    </row>
    <row r="58" spans="4:11">
      <c r="D58" s="6"/>
      <c r="E58" s="6"/>
      <c r="F58" s="6"/>
      <c r="G58" s="4"/>
      <c r="H58" s="4"/>
      <c r="I58" s="5"/>
      <c r="J58" s="5"/>
      <c r="K58" s="5" t="str">
        <f t="shared" si="2"/>
        <v/>
      </c>
    </row>
    <row r="59" spans="4:11">
      <c r="D59" s="6"/>
      <c r="E59" s="6"/>
      <c r="F59" s="6"/>
      <c r="G59" s="4"/>
      <c r="H59" s="4"/>
      <c r="I59" s="5"/>
      <c r="J59" s="5"/>
      <c r="K59" s="5" t="str">
        <f t="shared" si="2"/>
        <v/>
      </c>
    </row>
    <row r="60" spans="4:11">
      <c r="D60" s="6"/>
      <c r="E60" s="6"/>
      <c r="F60" s="6"/>
      <c r="G60" s="4"/>
      <c r="H60" s="4"/>
      <c r="I60" s="5"/>
      <c r="J60" s="5"/>
      <c r="K60" s="5" t="str">
        <f t="shared" si="2"/>
        <v/>
      </c>
    </row>
    <row r="61" spans="4:11">
      <c r="D61" s="6"/>
      <c r="E61" s="6"/>
      <c r="F61" s="6"/>
      <c r="G61" s="4"/>
      <c r="H61" s="4"/>
      <c r="I61" s="5"/>
      <c r="J61" s="5"/>
      <c r="K61" s="5" t="str">
        <f t="shared" si="2"/>
        <v/>
      </c>
    </row>
    <row r="62" spans="4:11">
      <c r="D62" s="6"/>
      <c r="E62" s="6"/>
      <c r="F62" s="6"/>
      <c r="G62" s="4"/>
      <c r="H62" s="4"/>
      <c r="I62" s="5"/>
      <c r="J62" s="5"/>
      <c r="K62" s="5" t="str">
        <f t="shared" si="2"/>
        <v/>
      </c>
    </row>
    <row r="63" spans="4:11">
      <c r="D63" s="6"/>
      <c r="E63" s="6"/>
      <c r="F63" s="6"/>
      <c r="G63" s="4"/>
      <c r="H63" s="4"/>
      <c r="I63" s="5"/>
      <c r="J63" s="5"/>
      <c r="K63" s="5" t="str">
        <f t="shared" si="2"/>
        <v/>
      </c>
    </row>
    <row r="64" spans="4:11">
      <c r="D64" s="6"/>
      <c r="E64" s="6"/>
      <c r="F64" s="6"/>
      <c r="G64" s="4"/>
      <c r="H64" s="4"/>
      <c r="I64" s="5"/>
      <c r="J64" s="5"/>
      <c r="K64" s="5" t="str">
        <f t="shared" si="2"/>
        <v/>
      </c>
    </row>
    <row r="65" spans="4:11">
      <c r="D65" s="6"/>
      <c r="E65" s="6"/>
      <c r="F65" s="6"/>
      <c r="G65" s="4"/>
      <c r="H65" s="4"/>
      <c r="I65" s="5"/>
      <c r="J65" s="5"/>
      <c r="K65" s="5" t="str">
        <f t="shared" si="2"/>
        <v/>
      </c>
    </row>
    <row r="66" spans="4:11">
      <c r="D66" s="6"/>
      <c r="E66" s="6"/>
      <c r="F66" s="6"/>
      <c r="G66" s="4"/>
      <c r="H66" s="4"/>
      <c r="I66" s="5"/>
      <c r="J66" s="5"/>
      <c r="K66" s="5" t="str">
        <f t="shared" si="2"/>
        <v/>
      </c>
    </row>
    <row r="67" spans="4:11">
      <c r="D67" s="6"/>
      <c r="E67" s="6"/>
      <c r="F67" s="6"/>
      <c r="G67" s="4"/>
      <c r="H67" s="4"/>
      <c r="I67" s="5"/>
      <c r="J67" s="5"/>
      <c r="K67" s="5" t="str">
        <f t="shared" si="2"/>
        <v/>
      </c>
    </row>
    <row r="68" spans="4:11">
      <c r="D68" s="6"/>
      <c r="E68" s="6"/>
      <c r="F68" s="6"/>
      <c r="G68" s="4"/>
      <c r="H68" s="4"/>
      <c r="I68" s="5"/>
      <c r="J68" s="5"/>
      <c r="K68" s="5" t="str">
        <f t="shared" si="2"/>
        <v/>
      </c>
    </row>
    <row r="69" spans="4:11">
      <c r="D69" s="6"/>
      <c r="E69" s="6"/>
      <c r="F69" s="6"/>
      <c r="G69" s="4"/>
      <c r="H69" s="4"/>
      <c r="I69" s="5"/>
      <c r="J69" s="5"/>
      <c r="K69" s="5" t="str">
        <f t="shared" si="2"/>
        <v/>
      </c>
    </row>
    <row r="70" spans="4:11">
      <c r="D70" s="6"/>
      <c r="E70" s="6"/>
      <c r="F70" s="6"/>
      <c r="G70" s="4"/>
      <c r="H70" s="4"/>
      <c r="I70" s="5"/>
      <c r="J70" s="5"/>
      <c r="K70" s="5" t="str">
        <f t="shared" si="2"/>
        <v/>
      </c>
    </row>
    <row r="71" spans="4:11">
      <c r="D71" s="6"/>
      <c r="E71" s="6"/>
      <c r="F71" s="6"/>
      <c r="G71" s="4"/>
      <c r="H71" s="4"/>
      <c r="I71" s="5"/>
      <c r="J71" s="5"/>
      <c r="K71" s="5" t="str">
        <f t="shared" si="2"/>
        <v/>
      </c>
    </row>
    <row r="72" spans="4:11">
      <c r="D72" s="6"/>
      <c r="E72" s="6"/>
      <c r="F72" s="6"/>
      <c r="G72" s="4"/>
      <c r="H72" s="4"/>
      <c r="I72" s="5"/>
      <c r="J72" s="5"/>
      <c r="K72" s="5" t="str">
        <f t="shared" si="2"/>
        <v/>
      </c>
    </row>
    <row r="73" spans="4:11">
      <c r="D73" s="6"/>
      <c r="E73" s="6"/>
      <c r="F73" s="6"/>
      <c r="G73" s="4"/>
      <c r="H73" s="4"/>
      <c r="I73" s="5"/>
      <c r="J73" s="5"/>
      <c r="K73" s="5" t="str">
        <f t="shared" si="2"/>
        <v/>
      </c>
    </row>
    <row r="74" spans="4:11">
      <c r="D74" s="6"/>
      <c r="E74" s="6"/>
      <c r="F74" s="6"/>
      <c r="G74" s="4"/>
      <c r="H74" s="4"/>
      <c r="I74" s="5"/>
      <c r="J74" s="5"/>
      <c r="K74" s="5" t="str">
        <f t="shared" si="2"/>
        <v/>
      </c>
    </row>
    <row r="75" spans="4:11">
      <c r="D75" s="6"/>
      <c r="E75" s="6"/>
      <c r="F75" s="6"/>
      <c r="G75" s="4"/>
      <c r="H75" s="4"/>
      <c r="I75" s="5"/>
      <c r="J75" s="5"/>
      <c r="K75" s="5" t="str">
        <f t="shared" si="2"/>
        <v/>
      </c>
    </row>
    <row r="76" spans="4:11">
      <c r="D76" s="6"/>
      <c r="E76" s="6"/>
      <c r="F76" s="6"/>
      <c r="G76" s="4"/>
      <c r="H76" s="4"/>
      <c r="I76" s="5"/>
      <c r="J76" s="5"/>
      <c r="K76" s="5" t="str">
        <f t="shared" si="2"/>
        <v/>
      </c>
    </row>
    <row r="77" spans="4:11">
      <c r="D77" s="6"/>
      <c r="E77" s="6"/>
      <c r="F77" s="6"/>
      <c r="G77" s="4"/>
      <c r="H77" s="4"/>
      <c r="I77" s="5"/>
      <c r="J77" s="5"/>
      <c r="K77" s="5" t="str">
        <f t="shared" si="2"/>
        <v/>
      </c>
    </row>
    <row r="78" spans="4:11">
      <c r="D78" s="6"/>
      <c r="E78" s="6"/>
      <c r="F78" s="6"/>
      <c r="G78" s="4"/>
      <c r="H78" s="4"/>
      <c r="I78" s="5"/>
      <c r="J78" s="5"/>
      <c r="K78" s="5" t="str">
        <f t="shared" si="2"/>
        <v/>
      </c>
    </row>
    <row r="79" spans="4:11">
      <c r="D79" s="6"/>
      <c r="E79" s="6"/>
      <c r="F79" s="6"/>
      <c r="G79" s="4"/>
      <c r="H79" s="4"/>
      <c r="I79" s="5"/>
      <c r="J79" s="5"/>
      <c r="K79" s="5" t="str">
        <f t="shared" si="2"/>
        <v/>
      </c>
    </row>
    <row r="80" spans="4:11">
      <c r="D80" s="6"/>
      <c r="E80" s="6"/>
      <c r="F80" s="6"/>
      <c r="G80" s="4"/>
      <c r="H80" s="4"/>
      <c r="I80" s="5"/>
      <c r="J80" s="5"/>
      <c r="K80" s="5" t="str">
        <f t="shared" si="2"/>
        <v/>
      </c>
    </row>
    <row r="81" spans="4:11">
      <c r="D81" s="6"/>
      <c r="E81" s="6"/>
      <c r="F81" s="6"/>
      <c r="G81" s="4"/>
      <c r="H81" s="4"/>
      <c r="I81" s="5"/>
      <c r="J81" s="5"/>
      <c r="K81" s="5" t="str">
        <f t="shared" ref="K81:K102" si="3">IF(I81="","",I81-J81)</f>
        <v/>
      </c>
    </row>
    <row r="82" spans="4:11">
      <c r="D82" s="6"/>
      <c r="E82" s="6"/>
      <c r="F82" s="6"/>
      <c r="G82" s="4"/>
      <c r="H82" s="4"/>
      <c r="I82" s="5"/>
      <c r="J82" s="5"/>
      <c r="K82" s="5" t="str">
        <f t="shared" si="3"/>
        <v/>
      </c>
    </row>
    <row r="83" spans="4:11">
      <c r="D83" s="6"/>
      <c r="E83" s="6"/>
      <c r="F83" s="6"/>
      <c r="G83" s="4"/>
      <c r="H83" s="4"/>
      <c r="I83" s="5"/>
      <c r="J83" s="5"/>
      <c r="K83" s="5" t="str">
        <f t="shared" si="3"/>
        <v/>
      </c>
    </row>
    <row r="84" spans="4:11">
      <c r="D84" s="6"/>
      <c r="E84" s="6"/>
      <c r="F84" s="6"/>
      <c r="G84" s="4"/>
      <c r="H84" s="4"/>
      <c r="I84" s="5"/>
      <c r="J84" s="5"/>
      <c r="K84" s="5" t="str">
        <f t="shared" si="3"/>
        <v/>
      </c>
    </row>
    <row r="85" spans="4:11">
      <c r="D85" s="6"/>
      <c r="E85" s="6"/>
      <c r="F85" s="6"/>
      <c r="G85" s="4"/>
      <c r="H85" s="4"/>
      <c r="I85" s="5"/>
      <c r="J85" s="5"/>
      <c r="K85" s="5" t="str">
        <f t="shared" si="3"/>
        <v/>
      </c>
    </row>
    <row r="86" spans="4:11">
      <c r="D86" s="6"/>
      <c r="E86" s="6"/>
      <c r="F86" s="6"/>
      <c r="G86" s="4"/>
      <c r="H86" s="4"/>
      <c r="I86" s="5"/>
      <c r="J86" s="5"/>
      <c r="K86" s="5" t="str">
        <f t="shared" si="3"/>
        <v/>
      </c>
    </row>
    <row r="87" spans="4:11">
      <c r="D87" s="6"/>
      <c r="E87" s="6"/>
      <c r="F87" s="6"/>
      <c r="G87" s="4"/>
      <c r="H87" s="4"/>
      <c r="I87" s="5"/>
      <c r="J87" s="5"/>
      <c r="K87" s="5" t="str">
        <f t="shared" si="3"/>
        <v/>
      </c>
    </row>
    <row r="88" spans="4:11">
      <c r="D88" s="6"/>
      <c r="E88" s="6"/>
      <c r="F88" s="6"/>
      <c r="G88" s="4"/>
      <c r="H88" s="4"/>
      <c r="I88" s="5"/>
      <c r="J88" s="5"/>
      <c r="K88" s="5" t="str">
        <f t="shared" si="3"/>
        <v/>
      </c>
    </row>
    <row r="89" spans="4:11">
      <c r="D89" s="6"/>
      <c r="E89" s="6"/>
      <c r="F89" s="6"/>
      <c r="G89" s="4"/>
      <c r="H89" s="4"/>
      <c r="I89" s="5"/>
      <c r="J89" s="5"/>
      <c r="K89" s="5" t="str">
        <f t="shared" si="3"/>
        <v/>
      </c>
    </row>
    <row r="90" spans="4:11">
      <c r="D90" s="6"/>
      <c r="E90" s="6"/>
      <c r="F90" s="6"/>
      <c r="G90" s="4"/>
      <c r="H90" s="4"/>
      <c r="I90" s="5"/>
      <c r="J90" s="5"/>
      <c r="K90" s="5" t="str">
        <f t="shared" si="3"/>
        <v/>
      </c>
    </row>
    <row r="91" spans="4:11">
      <c r="D91" s="6"/>
      <c r="E91" s="6"/>
      <c r="F91" s="6"/>
      <c r="G91" s="4"/>
      <c r="H91" s="4"/>
      <c r="I91" s="5"/>
      <c r="J91" s="5"/>
      <c r="K91" s="5" t="str">
        <f t="shared" si="3"/>
        <v/>
      </c>
    </row>
    <row r="92" spans="4:11">
      <c r="D92" s="6"/>
      <c r="E92" s="6"/>
      <c r="F92" s="6"/>
      <c r="G92" s="4"/>
      <c r="H92" s="4"/>
      <c r="I92" s="5"/>
      <c r="J92" s="5"/>
      <c r="K92" s="5" t="str">
        <f t="shared" si="3"/>
        <v/>
      </c>
    </row>
    <row r="93" spans="4:11">
      <c r="D93" s="6"/>
      <c r="E93" s="6"/>
      <c r="F93" s="6"/>
      <c r="G93" s="4"/>
      <c r="H93" s="4"/>
      <c r="I93" s="5"/>
      <c r="J93" s="5"/>
      <c r="K93" s="5" t="str">
        <f t="shared" si="3"/>
        <v/>
      </c>
    </row>
    <row r="94" spans="4:11">
      <c r="D94" s="6"/>
      <c r="E94" s="6"/>
      <c r="F94" s="6"/>
      <c r="G94" s="4"/>
      <c r="H94" s="4"/>
      <c r="I94" s="5"/>
      <c r="J94" s="5"/>
      <c r="K94" s="5" t="str">
        <f t="shared" si="3"/>
        <v/>
      </c>
    </row>
    <row r="95" spans="4:11">
      <c r="D95" s="6"/>
      <c r="E95" s="6"/>
      <c r="F95" s="6"/>
      <c r="G95" s="4"/>
      <c r="H95" s="4"/>
      <c r="I95" s="5"/>
      <c r="J95" s="5"/>
      <c r="K95" s="5" t="str">
        <f t="shared" si="3"/>
        <v/>
      </c>
    </row>
    <row r="96" spans="4:11">
      <c r="D96" s="6"/>
      <c r="E96" s="6"/>
      <c r="F96" s="6"/>
      <c r="G96" s="4"/>
      <c r="H96" s="4"/>
      <c r="I96" s="5"/>
      <c r="J96" s="5"/>
      <c r="K96" s="5" t="str">
        <f t="shared" si="3"/>
        <v/>
      </c>
    </row>
    <row r="97" spans="4:11">
      <c r="D97" s="6"/>
      <c r="E97" s="6"/>
      <c r="F97" s="6"/>
      <c r="G97" s="4"/>
      <c r="H97" s="4"/>
      <c r="I97" s="5"/>
      <c r="J97" s="5"/>
      <c r="K97" s="5" t="str">
        <f t="shared" si="3"/>
        <v/>
      </c>
    </row>
    <row r="98" spans="4:11">
      <c r="D98" s="6"/>
      <c r="E98" s="6"/>
      <c r="F98" s="6"/>
      <c r="G98" s="4"/>
      <c r="H98" s="4"/>
      <c r="I98" s="5"/>
      <c r="J98" s="5"/>
      <c r="K98" s="5" t="str">
        <f t="shared" si="3"/>
        <v/>
      </c>
    </row>
    <row r="99" spans="4:11">
      <c r="D99" s="6"/>
      <c r="E99" s="6"/>
      <c r="F99" s="6"/>
      <c r="G99" s="4"/>
      <c r="H99" s="4"/>
      <c r="I99" s="5"/>
      <c r="J99" s="5"/>
      <c r="K99" s="5" t="str">
        <f t="shared" si="3"/>
        <v/>
      </c>
    </row>
    <row r="100" spans="4:11">
      <c r="D100" s="6"/>
      <c r="E100" s="6"/>
      <c r="F100" s="6"/>
      <c r="G100" s="4"/>
      <c r="H100" s="4"/>
      <c r="I100" s="5"/>
      <c r="J100" s="5"/>
      <c r="K100" s="5" t="str">
        <f t="shared" si="3"/>
        <v/>
      </c>
    </row>
    <row r="101" spans="4:11">
      <c r="D101" s="6"/>
      <c r="E101" s="6"/>
      <c r="F101" s="6"/>
      <c r="G101" s="4"/>
      <c r="H101" s="4"/>
      <c r="I101" s="5"/>
      <c r="J101" s="5"/>
      <c r="K101" s="5" t="str">
        <f t="shared" si="3"/>
        <v/>
      </c>
    </row>
    <row r="102" spans="4:11">
      <c r="D102" s="6"/>
      <c r="E102" s="6"/>
      <c r="F102" s="6"/>
      <c r="G102" s="4"/>
      <c r="H102" s="4"/>
      <c r="I102" s="5"/>
      <c r="J102" s="5"/>
      <c r="K102" s="5" t="str">
        <f t="shared" si="3"/>
        <v/>
      </c>
    </row>
  </sheetData>
  <conditionalFormatting sqref="D2:F102">
    <cfRule type="cellIs" dxfId="10" priority="1" operator="greaterThan">
      <formula>0</formula>
    </cfRule>
  </conditionalFormatting>
  <dataValidations count="1">
    <dataValidation type="list" sqref="L2:L102" xr:uid="{00000000-0002-0000-0100-000000000000}">
      <formula1>"Rezervuar,Dërguar,Liruar,Anuluar"</formula1>
    </dataValidation>
  </dataValidations>
  <pageMargins left="0.7" right="0.7" top="0.75" bottom="0.75" header="0.3" footer="0.3"/>
  <pageSetup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topLeftCell="A4" workbookViewId="0">
      <selection activeCell="F25" sqref="F24:F25"/>
    </sheetView>
  </sheetViews>
  <sheetFormatPr defaultRowHeight="14.25"/>
  <cols>
    <col min="1" max="2" width="13" customWidth="1"/>
    <col min="3" max="8" width="12" customWidth="1"/>
    <col min="9" max="9" width="18" customWidth="1"/>
    <col min="10" max="10" width="26" customWidth="1"/>
  </cols>
  <sheetData>
    <row r="1" spans="1:10" ht="18">
      <c r="A1" s="61" t="s">
        <v>16</v>
      </c>
      <c r="B1" s="62"/>
      <c r="C1" s="62"/>
      <c r="D1" s="62"/>
      <c r="E1" s="62"/>
      <c r="F1" s="62"/>
      <c r="G1" s="62"/>
      <c r="H1" s="62"/>
      <c r="I1" s="62"/>
      <c r="J1" s="62"/>
    </row>
    <row r="3" spans="1:10" ht="15">
      <c r="A3" s="7" t="s">
        <v>17</v>
      </c>
      <c r="B3" s="6">
        <f>Inventari!B4</f>
        <v>2</v>
      </c>
    </row>
    <row r="4" spans="1:10" ht="15">
      <c r="A4" s="7" t="s">
        <v>18</v>
      </c>
      <c r="B4" s="6">
        <f>Inventari!B5</f>
        <v>200</v>
      </c>
    </row>
    <row r="5" spans="1:10" ht="15">
      <c r="A5" s="7" t="s">
        <v>19</v>
      </c>
      <c r="B5" s="6">
        <f>Inventari!B6</f>
        <v>32</v>
      </c>
    </row>
    <row r="7" spans="1:10" ht="30">
      <c r="A7" s="8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8" t="s">
        <v>29</v>
      </c>
    </row>
    <row r="8" spans="1:10">
      <c r="A8" s="9">
        <v>46225</v>
      </c>
      <c r="B8" s="10" t="s">
        <v>30</v>
      </c>
      <c r="C8" s="11">
        <f>SUMIFS(Rezervimet!$D$2:$D$102,Rezervimet!$G$2:$G$102,"&lt;="&amp;A8+1,Rezervimet!$H$2:$H$102,"&gt;="&amp;A8)</f>
        <v>0</v>
      </c>
      <c r="D8" s="11">
        <f t="shared" ref="D8:D17" si="0">$B$3-C8</f>
        <v>2</v>
      </c>
      <c r="E8" s="11">
        <f>SUMIFS(Rezervimet!$E$2:$E$102,Rezervimet!$G$2:$G$102,"&lt;="&amp;A8+1,Rezervimet!$H$2:$H$102,"&gt;="&amp;A8)</f>
        <v>0</v>
      </c>
      <c r="F8" s="11">
        <f t="shared" ref="F8:F17" si="1">$B$4-E8</f>
        <v>200</v>
      </c>
      <c r="G8" s="11">
        <f>SUMIFS(Rezervimet!$F$2:$F$102,Rezervimet!$G$2:$G$102,"&lt;="&amp;A8+1,Rezervimet!$H$2:$H$102,"&gt;="&amp;A8)</f>
        <v>0</v>
      </c>
      <c r="H8" s="11">
        <f t="shared" ref="H8:H17" si="2">$B$5-G8</f>
        <v>32</v>
      </c>
      <c r="I8" s="10" t="str">
        <f t="shared" ref="I8:I17" si="3">IF(OR(D8&lt;0,F8&lt;0,H8&lt;0),"Mungesë inventari",IF(AND(C8=0,E8=0,G8=0),"I lirë","Ka rezervime"))</f>
        <v>I lirë</v>
      </c>
      <c r="J8" s="10"/>
    </row>
    <row r="9" spans="1:10">
      <c r="A9" s="9">
        <v>46226</v>
      </c>
      <c r="B9" s="10" t="s">
        <v>31</v>
      </c>
      <c r="C9" s="11">
        <f>SUMIFS(Rezervimet!$D$2:$D$102,Rezervimet!$G$2:$G$102,"&lt;="&amp;A9+1,Rezervimet!$H$2:$H$102,"&gt;="&amp;A9)</f>
        <v>0</v>
      </c>
      <c r="D9" s="11">
        <f t="shared" si="0"/>
        <v>2</v>
      </c>
      <c r="E9" s="11">
        <f>SUMIFS(Rezervimet!$E$2:$E$102,Rezervimet!$G$2:$G$102,"&lt;="&amp;A9+1,Rezervimet!$H$2:$H$102,"&gt;="&amp;A9)</f>
        <v>0</v>
      </c>
      <c r="F9" s="11">
        <f t="shared" si="1"/>
        <v>200</v>
      </c>
      <c r="G9" s="11">
        <f>SUMIFS(Rezervimet!$F$2:$F$102,Rezervimet!$G$2:$G$102,"&lt;="&amp;A9+1,Rezervimet!$H$2:$H$102,"&gt;="&amp;A9)</f>
        <v>0</v>
      </c>
      <c r="H9" s="11">
        <f t="shared" si="2"/>
        <v>32</v>
      </c>
      <c r="I9" s="10" t="str">
        <f t="shared" si="3"/>
        <v>I lirë</v>
      </c>
      <c r="J9" s="10"/>
    </row>
    <row r="10" spans="1:10">
      <c r="A10" s="9">
        <v>46227</v>
      </c>
      <c r="B10" s="10" t="s">
        <v>32</v>
      </c>
      <c r="C10" s="11">
        <v>0</v>
      </c>
      <c r="D10" s="11">
        <f t="shared" si="0"/>
        <v>2</v>
      </c>
      <c r="E10" s="11">
        <v>60</v>
      </c>
      <c r="F10" s="11">
        <f t="shared" si="1"/>
        <v>140</v>
      </c>
      <c r="G10" s="11">
        <v>10</v>
      </c>
      <c r="H10" s="11">
        <f t="shared" si="2"/>
        <v>22</v>
      </c>
      <c r="I10" s="10" t="str">
        <f t="shared" si="3"/>
        <v>Ka rezervime</v>
      </c>
      <c r="J10" s="10"/>
    </row>
    <row r="11" spans="1:10">
      <c r="A11" s="9">
        <v>46228</v>
      </c>
      <c r="B11" s="10" t="s">
        <v>33</v>
      </c>
      <c r="C11" s="11">
        <f>SUMIFS(Rezervimet!$D$2:$D$102,Rezervimet!$G$2:$G$102,"&lt;="&amp;A11+1,Rezervimet!$H$2:$H$102,"&gt;="&amp;A11)</f>
        <v>0</v>
      </c>
      <c r="D11" s="11">
        <f t="shared" si="0"/>
        <v>2</v>
      </c>
      <c r="E11" s="11">
        <v>130</v>
      </c>
      <c r="F11" s="11">
        <f t="shared" si="1"/>
        <v>70</v>
      </c>
      <c r="G11" s="11">
        <v>9</v>
      </c>
      <c r="H11" s="11">
        <f t="shared" si="2"/>
        <v>23</v>
      </c>
      <c r="I11" s="10" t="str">
        <f t="shared" si="3"/>
        <v>Ka rezervime</v>
      </c>
      <c r="J11" s="10"/>
    </row>
    <row r="12" spans="1:10">
      <c r="A12" s="9">
        <v>46229</v>
      </c>
      <c r="B12" s="10" t="s">
        <v>34</v>
      </c>
      <c r="C12" s="11">
        <f>SUMIFS(Rezervimet!$D$2:$D$102,Rezervimet!$G$2:$G$102,"&lt;="&amp;A12+1,Rezervimet!$H$2:$H$102,"&gt;="&amp;A12)</f>
        <v>0</v>
      </c>
      <c r="D12" s="11">
        <f t="shared" si="0"/>
        <v>2</v>
      </c>
      <c r="E12" s="11">
        <f>SUMIFS(Rezervimet!$E$2:$E$102,Rezervimet!$G$2:$G$102,"&lt;="&amp;A12+1,Rezervimet!$H$2:$H$102,"&gt;="&amp;A12)</f>
        <v>0</v>
      </c>
      <c r="F12" s="11">
        <f t="shared" si="1"/>
        <v>200</v>
      </c>
      <c r="G12" s="11">
        <f>SUMIFS(Rezervimet!$F$2:$F$102,Rezervimet!$G$2:$G$102,"&lt;="&amp;A12+1,Rezervimet!$H$2:$H$102,"&gt;="&amp;A12)</f>
        <v>0</v>
      </c>
      <c r="H12" s="11">
        <f t="shared" si="2"/>
        <v>32</v>
      </c>
      <c r="I12" s="10" t="str">
        <f t="shared" si="3"/>
        <v>I lirë</v>
      </c>
      <c r="J12" s="10"/>
    </row>
    <row r="13" spans="1:10">
      <c r="A13" s="9">
        <v>46230</v>
      </c>
      <c r="B13" s="10" t="s">
        <v>35</v>
      </c>
      <c r="C13" s="11">
        <f>SUMIFS(Rezervimet!$D$2:$D$102,Rezervimet!$G$2:$G$102,"&lt;="&amp;A13+1,Rezervimet!$H$2:$H$102,"&gt;="&amp;A13)</f>
        <v>0</v>
      </c>
      <c r="D13" s="11">
        <f t="shared" si="0"/>
        <v>2</v>
      </c>
      <c r="E13" s="11">
        <v>100</v>
      </c>
      <c r="F13" s="11">
        <f t="shared" si="1"/>
        <v>100</v>
      </c>
      <c r="G13" s="11">
        <f>SUMIFS(Rezervimet!$F$2:$F$102,Rezervimet!$G$2:$G$102,"&lt;="&amp;A13+1,Rezervimet!$H$2:$H$102,"&gt;="&amp;A13)</f>
        <v>0</v>
      </c>
      <c r="H13" s="11">
        <f t="shared" si="2"/>
        <v>32</v>
      </c>
      <c r="I13" s="10" t="str">
        <f t="shared" si="3"/>
        <v>Ka rezervime</v>
      </c>
      <c r="J13" s="10"/>
    </row>
    <row r="14" spans="1:10">
      <c r="A14" s="9">
        <v>46231</v>
      </c>
      <c r="B14" s="10" t="s">
        <v>36</v>
      </c>
      <c r="C14" s="11">
        <f>SUMIFS(Rezervimet!$D$2:$D$102,Rezervimet!$G$2:$G$102,"&lt;="&amp;A14+1,Rezervimet!$H$2:$H$102,"&gt;="&amp;A14)</f>
        <v>0</v>
      </c>
      <c r="D14" s="11">
        <f t="shared" si="0"/>
        <v>2</v>
      </c>
      <c r="E14" s="11">
        <f>SUMIFS(Rezervimet!$E$2:$E$102,Rezervimet!$G$2:$G$102,"&lt;="&amp;A14+1,Rezervimet!$H$2:$H$102,"&gt;="&amp;A14)</f>
        <v>0</v>
      </c>
      <c r="F14" s="11">
        <f t="shared" si="1"/>
        <v>200</v>
      </c>
      <c r="G14" s="11">
        <f>SUMIFS(Rezervimet!$F$2:$F$102,Rezervimet!$G$2:$G$102,"&lt;="&amp;A14+1,Rezervimet!$H$2:$H$102,"&gt;="&amp;A14)</f>
        <v>0</v>
      </c>
      <c r="H14" s="11">
        <f t="shared" si="2"/>
        <v>32</v>
      </c>
      <c r="I14" s="10" t="str">
        <f t="shared" si="3"/>
        <v>I lirë</v>
      </c>
      <c r="J14" s="10"/>
    </row>
    <row r="15" spans="1:10">
      <c r="A15" s="9">
        <v>46232</v>
      </c>
      <c r="B15" s="10" t="s">
        <v>30</v>
      </c>
      <c r="C15" s="11">
        <f>SUMIFS(Rezervimet!$D$2:$D$102,Rezervimet!$G$2:$G$102,"&lt;="&amp;A15+1,Rezervimet!$H$2:$H$102,"&gt;="&amp;A15)</f>
        <v>0</v>
      </c>
      <c r="D15" s="11">
        <f t="shared" si="0"/>
        <v>2</v>
      </c>
      <c r="E15" s="11">
        <f>SUMIFS(Rezervimet!$E$2:$E$102,Rezervimet!$G$2:$G$102,"&lt;="&amp;A15+1,Rezervimet!$H$2:$H$102,"&gt;="&amp;A15)</f>
        <v>0</v>
      </c>
      <c r="F15" s="11">
        <f t="shared" si="1"/>
        <v>200</v>
      </c>
      <c r="G15" s="11">
        <f>SUMIFS(Rezervimet!$F$2:$F$102,Rezervimet!$G$2:$G$102,"&lt;="&amp;A15+1,Rezervimet!$H$2:$H$102,"&gt;="&amp;A15)</f>
        <v>0</v>
      </c>
      <c r="H15" s="11">
        <f t="shared" si="2"/>
        <v>32</v>
      </c>
      <c r="I15" s="10" t="str">
        <f t="shared" si="3"/>
        <v>I lirë</v>
      </c>
      <c r="J15" s="10"/>
    </row>
    <row r="16" spans="1:10">
      <c r="A16" s="9">
        <v>46233</v>
      </c>
      <c r="B16" s="10" t="s">
        <v>31</v>
      </c>
      <c r="C16" s="11">
        <f>SUMIFS(Rezervimet!$D$2:$D$102,Rezervimet!$G$2:$G$102,"&lt;="&amp;A16+1,Rezervimet!$H$2:$H$102,"&gt;="&amp;A16)</f>
        <v>0</v>
      </c>
      <c r="D16" s="11">
        <f t="shared" si="0"/>
        <v>2</v>
      </c>
      <c r="E16" s="11">
        <f>SUMIFS(Rezervimet!$E$2:$E$102,Rezervimet!$G$2:$G$102,"&lt;="&amp;A16+1,Rezervimet!$H$2:$H$102,"&gt;="&amp;A16)</f>
        <v>0</v>
      </c>
      <c r="F16" s="11">
        <f t="shared" si="1"/>
        <v>200</v>
      </c>
      <c r="G16" s="11">
        <f>SUMIFS(Rezervimet!$F$2:$F$102,Rezervimet!$G$2:$G$102,"&lt;="&amp;A16+1,Rezervimet!$H$2:$H$102,"&gt;="&amp;A16)</f>
        <v>0</v>
      </c>
      <c r="H16" s="11">
        <f t="shared" si="2"/>
        <v>32</v>
      </c>
      <c r="I16" s="10" t="str">
        <f t="shared" si="3"/>
        <v>I lirë</v>
      </c>
      <c r="J16" s="10"/>
    </row>
    <row r="17" spans="1:10">
      <c r="A17" s="9">
        <v>46234</v>
      </c>
      <c r="B17" s="10" t="s">
        <v>32</v>
      </c>
      <c r="C17" s="11"/>
      <c r="D17" s="11">
        <f t="shared" si="0"/>
        <v>2</v>
      </c>
      <c r="E17" s="11">
        <v>100</v>
      </c>
      <c r="F17" s="11">
        <f t="shared" si="1"/>
        <v>100</v>
      </c>
      <c r="G17" s="11">
        <v>6</v>
      </c>
      <c r="H17" s="11">
        <f t="shared" si="2"/>
        <v>26</v>
      </c>
      <c r="I17" s="10" t="str">
        <f t="shared" si="3"/>
        <v>Ka rezervime</v>
      </c>
      <c r="J17" s="10"/>
    </row>
  </sheetData>
  <mergeCells count="1">
    <mergeCell ref="A1:J1"/>
  </mergeCells>
  <conditionalFormatting sqref="D8:D17 F8:F17 H8:H17">
    <cfRule type="cellIs" dxfId="9" priority="1" operator="lessThan">
      <formula>0</formula>
    </cfRule>
  </conditionalFormatting>
  <conditionalFormatting sqref="I8:I17">
    <cfRule type="expression" dxfId="8" priority="4">
      <formula>$I8="I lirë"</formula>
    </cfRule>
    <cfRule type="expression" dxfId="7" priority="5">
      <formula>$I8="Ka rezervime"</formula>
    </cfRule>
    <cfRule type="expression" dxfId="6" priority="6">
      <formula>$I8="Mungesë inventari"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>
      <selection activeCell="K31" sqref="K31"/>
    </sheetView>
  </sheetViews>
  <sheetFormatPr defaultRowHeight="14.25"/>
  <cols>
    <col min="1" max="2" width="13" customWidth="1"/>
    <col min="3" max="8" width="12" customWidth="1"/>
    <col min="9" max="9" width="18" customWidth="1"/>
    <col min="10" max="10" width="26" customWidth="1"/>
  </cols>
  <sheetData>
    <row r="1" spans="1:10" ht="18">
      <c r="A1" s="61" t="s">
        <v>37</v>
      </c>
      <c r="B1" s="62"/>
      <c r="C1" s="62"/>
      <c r="D1" s="62"/>
      <c r="E1" s="62"/>
      <c r="F1" s="62"/>
      <c r="G1" s="62"/>
      <c r="H1" s="62"/>
      <c r="I1" s="62"/>
      <c r="J1" s="62"/>
    </row>
    <row r="3" spans="1:10" ht="15">
      <c r="A3" s="7" t="s">
        <v>17</v>
      </c>
      <c r="B3" s="6">
        <f>Inventari!B4</f>
        <v>2</v>
      </c>
    </row>
    <row r="4" spans="1:10" ht="15">
      <c r="A4" s="7" t="s">
        <v>18</v>
      </c>
      <c r="B4" s="6">
        <f>Inventari!B5</f>
        <v>200</v>
      </c>
    </row>
    <row r="5" spans="1:10" ht="15">
      <c r="A5" s="7" t="s">
        <v>19</v>
      </c>
      <c r="B5" s="6">
        <v>32</v>
      </c>
    </row>
    <row r="7" spans="1:10" ht="30">
      <c r="A7" s="8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8" t="s">
        <v>29</v>
      </c>
    </row>
    <row r="8" spans="1:10">
      <c r="A8" s="9">
        <v>46235</v>
      </c>
      <c r="B8" s="10" t="s">
        <v>33</v>
      </c>
      <c r="C8" s="11">
        <f>SUMIFS(Rezervimet!$D$2:$D$102,Rezervimet!$G$2:$G$102,"&lt;="&amp;A8+1,Rezervimet!$H$2:$H$102,"&gt;="&amp;A8)</f>
        <v>0</v>
      </c>
      <c r="D8" s="11">
        <f t="shared" ref="D8:D38" si="0">$B$3-C8</f>
        <v>2</v>
      </c>
      <c r="E8" s="11">
        <v>60</v>
      </c>
      <c r="F8" s="11">
        <f t="shared" ref="F8:F38" si="1">$B$4-E8</f>
        <v>140</v>
      </c>
      <c r="G8" s="11">
        <f>SUMIFS(Rezervimet!$F$2:$F$102,Rezervimet!$G$2:$G$102,"&lt;="&amp;A8+1,Rezervimet!$H$2:$H$102,"&gt;="&amp;A8)</f>
        <v>0</v>
      </c>
      <c r="H8" s="11">
        <f t="shared" ref="H8:H38" si="2">$B$5-G8</f>
        <v>32</v>
      </c>
      <c r="I8" s="10" t="str">
        <f t="shared" ref="I8:I38" si="3">IF(OR(D8&lt;0,F8&lt;0,H8&lt;0),"Mungesë inventari",IF(AND(C8=0,E8=0,G8=0),"I lirë","Ka rezervime"))</f>
        <v>Ka rezervime</v>
      </c>
      <c r="J8" s="10" t="s">
        <v>43</v>
      </c>
    </row>
    <row r="9" spans="1:10">
      <c r="A9" s="9">
        <v>46236</v>
      </c>
      <c r="B9" s="10" t="s">
        <v>34</v>
      </c>
      <c r="C9" s="11">
        <f>SUMIFS(Rezervimet!$D$2:$D$102,Rezervimet!$G$2:$G$102,"&lt;="&amp;A9+1,Rezervimet!$H$2:$H$102,"&gt;="&amp;A9)</f>
        <v>0</v>
      </c>
      <c r="D9" s="11">
        <f t="shared" si="0"/>
        <v>2</v>
      </c>
      <c r="E9" s="11">
        <f>SUMIFS(Rezervimet!$E$2:$E$102,Rezervimet!$G$2:$G$102,"&lt;="&amp;A9+1,Rezervimet!$H$2:$H$102,"&gt;="&amp;A9)</f>
        <v>0</v>
      </c>
      <c r="F9" s="11">
        <f t="shared" si="1"/>
        <v>200</v>
      </c>
      <c r="G9" s="11">
        <f>SUMIFS(Rezervimet!$F$2:$F$102,Rezervimet!$G$2:$G$102,"&lt;="&amp;A9+1,Rezervimet!$H$2:$H$102,"&gt;="&amp;A9)</f>
        <v>0</v>
      </c>
      <c r="H9" s="11">
        <f t="shared" si="2"/>
        <v>32</v>
      </c>
      <c r="I9" s="10" t="str">
        <f t="shared" si="3"/>
        <v>I lirë</v>
      </c>
      <c r="J9" s="10"/>
    </row>
    <row r="10" spans="1:10">
      <c r="A10" s="9">
        <v>46237</v>
      </c>
      <c r="B10" s="10" t="s">
        <v>35</v>
      </c>
      <c r="C10" s="11">
        <f>SUMIFS(Rezervimet!$D$2:$D$102,Rezervimet!$G$2:$G$102,"&lt;="&amp;A10+1,Rezervimet!$H$2:$H$102,"&gt;="&amp;A10)</f>
        <v>0</v>
      </c>
      <c r="D10" s="11">
        <f t="shared" si="0"/>
        <v>2</v>
      </c>
      <c r="E10" s="11">
        <f>SUMIFS(Rezervimet!$E$2:$E$102,Rezervimet!$G$2:$G$102,"&lt;="&amp;A10+1,Rezervimet!$H$2:$H$102,"&gt;="&amp;A10)</f>
        <v>0</v>
      </c>
      <c r="F10" s="11">
        <f t="shared" si="1"/>
        <v>200</v>
      </c>
      <c r="G10" s="11">
        <f>SUMIFS(Rezervimet!$F$2:$F$102,Rezervimet!$G$2:$G$102,"&lt;="&amp;A10+1,Rezervimet!$H$2:$H$102,"&gt;="&amp;A10)</f>
        <v>0</v>
      </c>
      <c r="H10" s="11">
        <f t="shared" si="2"/>
        <v>32</v>
      </c>
      <c r="I10" s="10" t="str">
        <f t="shared" si="3"/>
        <v>I lirë</v>
      </c>
      <c r="J10" s="10"/>
    </row>
    <row r="11" spans="1:10">
      <c r="A11" s="9">
        <v>46238</v>
      </c>
      <c r="B11" s="10" t="s">
        <v>36</v>
      </c>
      <c r="C11" s="11">
        <f>SUMIFS(Rezervimet!$D$2:$D$102,Rezervimet!$G$2:$G$102,"&lt;="&amp;A11+1,Rezervimet!$H$2:$H$102,"&gt;="&amp;A11)</f>
        <v>0</v>
      </c>
      <c r="D11" s="11">
        <f t="shared" si="0"/>
        <v>2</v>
      </c>
      <c r="E11" s="11">
        <v>70</v>
      </c>
      <c r="F11" s="11">
        <f t="shared" si="1"/>
        <v>130</v>
      </c>
      <c r="G11" s="11">
        <f>SUMIFS(Rezervimet!$F$2:$F$102,Rezervimet!$G$2:$G$102,"&lt;="&amp;A11+1,Rezervimet!$H$2:$H$102,"&gt;="&amp;A11)</f>
        <v>0</v>
      </c>
      <c r="H11" s="11">
        <f t="shared" si="2"/>
        <v>32</v>
      </c>
      <c r="I11" s="10" t="str">
        <f t="shared" si="3"/>
        <v>Ka rezervime</v>
      </c>
      <c r="J11" s="10" t="s">
        <v>40</v>
      </c>
    </row>
    <row r="12" spans="1:10">
      <c r="A12" s="9">
        <v>46239</v>
      </c>
      <c r="B12" s="10" t="s">
        <v>30</v>
      </c>
      <c r="C12" s="11">
        <f>SUMIFS(Rezervimet!$D$2:$D$102,Rezervimet!$G$2:$G$102,"&lt;="&amp;A12+1,Rezervimet!$H$2:$H$102,"&gt;="&amp;A12)</f>
        <v>0</v>
      </c>
      <c r="D12" s="11">
        <f t="shared" si="0"/>
        <v>2</v>
      </c>
      <c r="E12" s="11">
        <v>55</v>
      </c>
      <c r="F12" s="11">
        <f t="shared" si="1"/>
        <v>145</v>
      </c>
      <c r="G12" s="11">
        <v>9</v>
      </c>
      <c r="H12" s="11">
        <f t="shared" si="2"/>
        <v>23</v>
      </c>
      <c r="I12" s="10" t="str">
        <f t="shared" si="3"/>
        <v>Ka rezervime</v>
      </c>
      <c r="J12" s="10" t="s">
        <v>42</v>
      </c>
    </row>
    <row r="13" spans="1:10">
      <c r="A13" s="9">
        <v>46240</v>
      </c>
      <c r="B13" s="10" t="s">
        <v>31</v>
      </c>
      <c r="C13" s="11">
        <f>SUMIFS(Rezervimet!$D$2:$D$102,Rezervimet!$G$2:$G$102,"&lt;="&amp;A13+1,Rezervimet!$H$2:$H$102,"&gt;="&amp;A13)</f>
        <v>0</v>
      </c>
      <c r="D13" s="11">
        <f t="shared" si="0"/>
        <v>2</v>
      </c>
      <c r="E13" s="11">
        <v>0</v>
      </c>
      <c r="F13" s="11">
        <f t="shared" si="1"/>
        <v>200</v>
      </c>
      <c r="G13" s="11"/>
      <c r="H13" s="11">
        <f t="shared" si="2"/>
        <v>32</v>
      </c>
      <c r="I13" s="10" t="str">
        <f t="shared" si="3"/>
        <v>I lirë</v>
      </c>
      <c r="J13" s="10"/>
    </row>
    <row r="14" spans="1:10">
      <c r="A14" s="9">
        <v>46241</v>
      </c>
      <c r="B14" s="10" t="s">
        <v>32</v>
      </c>
      <c r="C14" s="11">
        <f>SUMIFS(Rezervimet!$D$2:$D$102,Rezervimet!$G$2:$G$102,"&lt;="&amp;A14+1,Rezervimet!$H$2:$H$102,"&gt;="&amp;A14)</f>
        <v>0</v>
      </c>
      <c r="D14" s="11">
        <f t="shared" si="0"/>
        <v>2</v>
      </c>
      <c r="E14" s="11">
        <v>150</v>
      </c>
      <c r="F14" s="11">
        <f t="shared" si="1"/>
        <v>50</v>
      </c>
      <c r="G14" s="11">
        <v>25</v>
      </c>
      <c r="H14" s="11">
        <f t="shared" si="2"/>
        <v>7</v>
      </c>
      <c r="I14" s="10" t="str">
        <f t="shared" si="3"/>
        <v>Ka rezervime</v>
      </c>
      <c r="J14" s="10" t="s">
        <v>41</v>
      </c>
    </row>
    <row r="15" spans="1:10">
      <c r="A15" s="9">
        <v>46242</v>
      </c>
      <c r="B15" s="10" t="s">
        <v>33</v>
      </c>
      <c r="C15" s="11">
        <f>SUMIFS(Rezervimet!$D$2:$D$102,Rezervimet!$G$2:$G$102,"&lt;="&amp;A15+1,Rezervimet!$H$2:$H$102,"&gt;="&amp;A15)</f>
        <v>0</v>
      </c>
      <c r="D15" s="11">
        <f t="shared" si="0"/>
        <v>2</v>
      </c>
      <c r="E15" s="11">
        <f>SUMIFS(Rezervimet!$E$2:$E$102,Rezervimet!$G$2:$G$102,"&lt;="&amp;A15+1,Rezervimet!$H$2:$H$102,"&gt;="&amp;A15)</f>
        <v>0</v>
      </c>
      <c r="F15" s="11">
        <f t="shared" si="1"/>
        <v>200</v>
      </c>
      <c r="G15" s="11">
        <f>SUMIFS(Rezervimet!$F$2:$F$102,Rezervimet!$G$2:$G$102,"&lt;="&amp;A15+1,Rezervimet!$H$2:$H$102,"&gt;="&amp;A15)</f>
        <v>0</v>
      </c>
      <c r="H15" s="11">
        <f t="shared" si="2"/>
        <v>32</v>
      </c>
      <c r="I15" s="10" t="str">
        <f t="shared" si="3"/>
        <v>I lirë</v>
      </c>
      <c r="J15" s="10"/>
    </row>
    <row r="16" spans="1:10">
      <c r="A16" s="9">
        <v>46243</v>
      </c>
      <c r="B16" s="10" t="s">
        <v>34</v>
      </c>
      <c r="C16" s="11">
        <f>SUMIFS(Rezervimet!$D$2:$D$102,Rezervimet!$G$2:$G$102,"&lt;="&amp;A16+1,Rezervimet!$H$2:$H$102,"&gt;="&amp;A16)</f>
        <v>0</v>
      </c>
      <c r="D16" s="11">
        <f t="shared" si="0"/>
        <v>2</v>
      </c>
      <c r="E16" s="11">
        <f>SUMIFS(Rezervimet!$E$2:$E$102,Rezervimet!$G$2:$G$102,"&lt;="&amp;A16+1,Rezervimet!$H$2:$H$102,"&gt;="&amp;A16)</f>
        <v>0</v>
      </c>
      <c r="F16" s="11">
        <f t="shared" si="1"/>
        <v>200</v>
      </c>
      <c r="G16" s="11">
        <f>SUMIFS(Rezervimet!$F$2:$F$102,Rezervimet!$G$2:$G$102,"&lt;="&amp;A16+1,Rezervimet!$H$2:$H$102,"&gt;="&amp;A16)</f>
        <v>0</v>
      </c>
      <c r="H16" s="11">
        <f t="shared" si="2"/>
        <v>32</v>
      </c>
      <c r="I16" s="10" t="str">
        <f t="shared" si="3"/>
        <v>I lirë</v>
      </c>
      <c r="J16" s="10"/>
    </row>
    <row r="17" spans="1:10">
      <c r="A17" s="9">
        <v>46244</v>
      </c>
      <c r="B17" s="10" t="s">
        <v>35</v>
      </c>
      <c r="C17" s="11">
        <f>SUMIFS(Rezervimet!$D$2:$D$102,Rezervimet!$G$2:$G$102,"&lt;="&amp;A17+1,Rezervimet!$H$2:$H$102,"&gt;="&amp;A17)</f>
        <v>0</v>
      </c>
      <c r="D17" s="11">
        <f t="shared" si="0"/>
        <v>2</v>
      </c>
      <c r="E17" s="11">
        <f>SUMIFS(Rezervimet!$E$2:$E$102,Rezervimet!$G$2:$G$102,"&lt;="&amp;A17+1,Rezervimet!$H$2:$H$102,"&gt;="&amp;A17)</f>
        <v>0</v>
      </c>
      <c r="F17" s="11">
        <f t="shared" si="1"/>
        <v>200</v>
      </c>
      <c r="G17" s="11">
        <f>SUMIFS(Rezervimet!$F$2:$F$102,Rezervimet!$G$2:$G$102,"&lt;="&amp;A17+1,Rezervimet!$H$2:$H$102,"&gt;="&amp;A17)</f>
        <v>0</v>
      </c>
      <c r="H17" s="11">
        <f t="shared" si="2"/>
        <v>32</v>
      </c>
      <c r="I17" s="10" t="str">
        <f t="shared" si="3"/>
        <v>I lirë</v>
      </c>
      <c r="J17" s="10"/>
    </row>
    <row r="18" spans="1:10">
      <c r="A18" s="9">
        <v>46245</v>
      </c>
      <c r="B18" s="10" t="s">
        <v>36</v>
      </c>
      <c r="C18" s="11">
        <f>SUMIFS(Rezervimet!$D$2:$D$102,Rezervimet!$G$2:$G$102,"&lt;="&amp;A18+1,Rezervimet!$H$2:$H$102,"&gt;="&amp;A18)</f>
        <v>0</v>
      </c>
      <c r="D18" s="11">
        <f t="shared" si="0"/>
        <v>2</v>
      </c>
      <c r="E18" s="11">
        <f>SUMIFS(Rezervimet!$E$2:$E$102,Rezervimet!$G$2:$G$102,"&lt;="&amp;A18+1,Rezervimet!$H$2:$H$102,"&gt;="&amp;A18)</f>
        <v>0</v>
      </c>
      <c r="F18" s="11">
        <f t="shared" si="1"/>
        <v>200</v>
      </c>
      <c r="G18" s="11">
        <f>SUMIFS(Rezervimet!$F$2:$F$102,Rezervimet!$G$2:$G$102,"&lt;="&amp;A18+1,Rezervimet!$H$2:$H$102,"&gt;="&amp;A18)</f>
        <v>0</v>
      </c>
      <c r="H18" s="11">
        <f t="shared" si="2"/>
        <v>32</v>
      </c>
      <c r="I18" s="10" t="str">
        <f t="shared" si="3"/>
        <v>I lirë</v>
      </c>
      <c r="J18" s="10"/>
    </row>
    <row r="19" spans="1:10">
      <c r="A19" s="9">
        <v>46246</v>
      </c>
      <c r="B19" s="10" t="s">
        <v>30</v>
      </c>
      <c r="C19" s="11">
        <f>SUMIFS(Rezervimet!$D$2:$D$102,Rezervimet!$G$2:$G$102,"&lt;="&amp;A19+1,Rezervimet!$H$2:$H$102,"&gt;="&amp;A19)</f>
        <v>0</v>
      </c>
      <c r="D19" s="11">
        <f t="shared" si="0"/>
        <v>2</v>
      </c>
      <c r="E19" s="11">
        <f>SUMIFS(Rezervimet!$E$2:$E$102,Rezervimet!$G$2:$G$102,"&lt;="&amp;A19+1,Rezervimet!$H$2:$H$102,"&gt;="&amp;A19)</f>
        <v>0</v>
      </c>
      <c r="F19" s="11">
        <f t="shared" si="1"/>
        <v>200</v>
      </c>
      <c r="G19" s="11">
        <f>SUMIFS(Rezervimet!$F$2:$F$102,Rezervimet!$G$2:$G$102,"&lt;="&amp;A19+1,Rezervimet!$H$2:$H$102,"&gt;="&amp;A19)</f>
        <v>0</v>
      </c>
      <c r="H19" s="11">
        <f t="shared" si="2"/>
        <v>32</v>
      </c>
      <c r="I19" s="10" t="str">
        <f t="shared" si="3"/>
        <v>I lirë</v>
      </c>
      <c r="J19" s="10"/>
    </row>
    <row r="20" spans="1:10">
      <c r="A20" s="9">
        <v>46247</v>
      </c>
      <c r="B20" s="10" t="s">
        <v>31</v>
      </c>
      <c r="C20" s="11">
        <f>SUMIFS(Rezervimet!$D$2:$D$102,Rezervimet!$G$2:$G$102,"&lt;="&amp;A20+1,Rezervimet!$H$2:$H$102,"&gt;="&amp;A20)</f>
        <v>0</v>
      </c>
      <c r="D20" s="11">
        <f t="shared" si="0"/>
        <v>2</v>
      </c>
      <c r="E20" s="11">
        <f>SUMIFS(Rezervimet!$E$2:$E$102,Rezervimet!$G$2:$G$102,"&lt;="&amp;A20+1,Rezervimet!$H$2:$H$102,"&gt;="&amp;A20)</f>
        <v>0</v>
      </c>
      <c r="F20" s="11">
        <f t="shared" si="1"/>
        <v>200</v>
      </c>
      <c r="G20" s="11">
        <f>SUMIFS(Rezervimet!$F$2:$F$102,Rezervimet!$G$2:$G$102,"&lt;="&amp;A20+1,Rezervimet!$H$2:$H$102,"&gt;="&amp;A20)</f>
        <v>0</v>
      </c>
      <c r="H20" s="11">
        <f t="shared" si="2"/>
        <v>32</v>
      </c>
      <c r="I20" s="10" t="str">
        <f t="shared" si="3"/>
        <v>I lirë</v>
      </c>
      <c r="J20" s="10"/>
    </row>
    <row r="21" spans="1:10">
      <c r="A21" s="9">
        <v>46248</v>
      </c>
      <c r="B21" s="10" t="s">
        <v>32</v>
      </c>
      <c r="C21" s="11">
        <f>SUMIFS(Rezervimet!$D$2:$D$102,Rezervimet!$G$2:$G$102,"&lt;="&amp;A21+1,Rezervimet!$H$2:$H$102,"&gt;="&amp;A21)</f>
        <v>0</v>
      </c>
      <c r="D21" s="11">
        <f t="shared" si="0"/>
        <v>2</v>
      </c>
      <c r="E21" s="11">
        <f>SUMIFS(Rezervimet!$E$2:$E$102,Rezervimet!$G$2:$G$102,"&lt;="&amp;A21+1,Rezervimet!$H$2:$H$102,"&gt;="&amp;A21)</f>
        <v>0</v>
      </c>
      <c r="F21" s="11">
        <f t="shared" si="1"/>
        <v>200</v>
      </c>
      <c r="G21" s="11">
        <f>SUMIFS(Rezervimet!$F$2:$F$102,Rezervimet!$G$2:$G$102,"&lt;="&amp;A21+1,Rezervimet!$H$2:$H$102,"&gt;="&amp;A21)</f>
        <v>0</v>
      </c>
      <c r="H21" s="11">
        <f t="shared" si="2"/>
        <v>32</v>
      </c>
      <c r="I21" s="10" t="str">
        <f t="shared" si="3"/>
        <v>I lirë</v>
      </c>
      <c r="J21" s="10"/>
    </row>
    <row r="22" spans="1:10">
      <c r="A22" s="9">
        <v>46249</v>
      </c>
      <c r="B22" s="10" t="s">
        <v>33</v>
      </c>
      <c r="C22" s="11">
        <f>SUMIFS(Rezervimet!$D$2:$D$102,Rezervimet!$G$2:$G$102,"&lt;="&amp;A22+1,Rezervimet!$H$2:$H$102,"&gt;="&amp;A22)</f>
        <v>0</v>
      </c>
      <c r="D22" s="11">
        <f t="shared" si="0"/>
        <v>2</v>
      </c>
      <c r="E22" s="11">
        <f>SUMIFS(Rezervimet!$E$2:$E$102,Rezervimet!$G$2:$G$102,"&lt;="&amp;A22+1,Rezervimet!$H$2:$H$102,"&gt;="&amp;A22)</f>
        <v>0</v>
      </c>
      <c r="F22" s="11">
        <f t="shared" si="1"/>
        <v>200</v>
      </c>
      <c r="G22" s="11">
        <f>SUMIFS(Rezervimet!$F$2:$F$102,Rezervimet!$G$2:$G$102,"&lt;="&amp;A22+1,Rezervimet!$H$2:$H$102,"&gt;="&amp;A22)</f>
        <v>0</v>
      </c>
      <c r="H22" s="11">
        <f t="shared" si="2"/>
        <v>32</v>
      </c>
      <c r="I22" s="10" t="str">
        <f t="shared" si="3"/>
        <v>I lirë</v>
      </c>
      <c r="J22" s="10"/>
    </row>
    <row r="23" spans="1:10">
      <c r="A23" s="9">
        <v>46250</v>
      </c>
      <c r="B23" s="10" t="s">
        <v>34</v>
      </c>
      <c r="C23" s="11">
        <f>SUMIFS(Rezervimet!$D$2:$D$102,Rezervimet!$G$2:$G$102,"&lt;="&amp;A23+1,Rezervimet!$H$2:$H$102,"&gt;="&amp;A23)</f>
        <v>0</v>
      </c>
      <c r="D23" s="11">
        <f t="shared" si="0"/>
        <v>2</v>
      </c>
      <c r="E23" s="11">
        <f>SUMIFS(Rezervimet!$E$2:$E$102,Rezervimet!$G$2:$G$102,"&lt;="&amp;A23+1,Rezervimet!$H$2:$H$102,"&gt;="&amp;A23)</f>
        <v>0</v>
      </c>
      <c r="F23" s="11">
        <f t="shared" si="1"/>
        <v>200</v>
      </c>
      <c r="G23" s="11">
        <f>SUMIFS(Rezervimet!$F$2:$F$102,Rezervimet!$G$2:$G$102,"&lt;="&amp;A23+1,Rezervimet!$H$2:$H$102,"&gt;="&amp;A23)</f>
        <v>0</v>
      </c>
      <c r="H23" s="11">
        <f t="shared" si="2"/>
        <v>32</v>
      </c>
      <c r="I23" s="10" t="str">
        <f t="shared" si="3"/>
        <v>I lirë</v>
      </c>
      <c r="J23" s="10"/>
    </row>
    <row r="24" spans="1:10">
      <c r="A24" s="9">
        <v>46251</v>
      </c>
      <c r="B24" s="10" t="s">
        <v>35</v>
      </c>
      <c r="C24" s="11">
        <f>SUMIFS(Rezervimet!$D$2:$D$102,Rezervimet!$G$2:$G$102,"&lt;="&amp;A24+1,Rezervimet!$H$2:$H$102,"&gt;="&amp;A24)</f>
        <v>0</v>
      </c>
      <c r="D24" s="11">
        <f t="shared" si="0"/>
        <v>2</v>
      </c>
      <c r="E24" s="11">
        <f>SUMIFS(Rezervimet!$E$2:$E$102,Rezervimet!$G$2:$G$102,"&lt;="&amp;A24+1,Rezervimet!$H$2:$H$102,"&gt;="&amp;A24)</f>
        <v>0</v>
      </c>
      <c r="F24" s="11">
        <f t="shared" si="1"/>
        <v>200</v>
      </c>
      <c r="G24" s="11">
        <f>SUMIFS(Rezervimet!$F$2:$F$102,Rezervimet!$G$2:$G$102,"&lt;="&amp;A24+1,Rezervimet!$H$2:$H$102,"&gt;="&amp;A24)</f>
        <v>0</v>
      </c>
      <c r="H24" s="11">
        <f t="shared" si="2"/>
        <v>32</v>
      </c>
      <c r="I24" s="10" t="str">
        <f t="shared" si="3"/>
        <v>I lirë</v>
      </c>
      <c r="J24" s="10"/>
    </row>
    <row r="25" spans="1:10">
      <c r="A25" s="9">
        <v>46252</v>
      </c>
      <c r="B25" s="10" t="s">
        <v>36</v>
      </c>
      <c r="C25" s="11">
        <f>SUMIFS(Rezervimet!$D$2:$D$102,Rezervimet!$G$2:$G$102,"&lt;="&amp;A25+1,Rezervimet!$H$2:$H$102,"&gt;="&amp;A25)</f>
        <v>0</v>
      </c>
      <c r="D25" s="11">
        <f t="shared" si="0"/>
        <v>2</v>
      </c>
      <c r="E25" s="11">
        <f>SUMIFS(Rezervimet!$E$2:$E$102,Rezervimet!$G$2:$G$102,"&lt;="&amp;A25+1,Rezervimet!$H$2:$H$102,"&gt;="&amp;A25)</f>
        <v>0</v>
      </c>
      <c r="F25" s="11">
        <f t="shared" si="1"/>
        <v>200</v>
      </c>
      <c r="G25" s="11">
        <f>SUMIFS(Rezervimet!$F$2:$F$102,Rezervimet!$G$2:$G$102,"&lt;="&amp;A25+1,Rezervimet!$H$2:$H$102,"&gt;="&amp;A25)</f>
        <v>0</v>
      </c>
      <c r="H25" s="11">
        <f t="shared" si="2"/>
        <v>32</v>
      </c>
      <c r="I25" s="10" t="str">
        <f t="shared" si="3"/>
        <v>I lirë</v>
      </c>
      <c r="J25" s="10"/>
    </row>
    <row r="26" spans="1:10">
      <c r="A26" s="9">
        <v>46253</v>
      </c>
      <c r="B26" s="10" t="s">
        <v>30</v>
      </c>
      <c r="C26" s="11">
        <f>SUMIFS(Rezervimet!$D$2:$D$102,Rezervimet!$G$2:$G$102,"&lt;="&amp;A26+1,Rezervimet!$H$2:$H$102,"&gt;="&amp;A26)</f>
        <v>0</v>
      </c>
      <c r="D26" s="11">
        <f t="shared" si="0"/>
        <v>2</v>
      </c>
      <c r="E26" s="11">
        <f>SUMIFS(Rezervimet!$E$2:$E$102,Rezervimet!$G$2:$G$102,"&lt;="&amp;A26+1,Rezervimet!$H$2:$H$102,"&gt;="&amp;A26)</f>
        <v>0</v>
      </c>
      <c r="F26" s="11">
        <f t="shared" si="1"/>
        <v>200</v>
      </c>
      <c r="G26" s="11">
        <f>SUMIFS(Rezervimet!$F$2:$F$102,Rezervimet!$G$2:$G$102,"&lt;="&amp;A26+1,Rezervimet!$H$2:$H$102,"&gt;="&amp;A26)</f>
        <v>0</v>
      </c>
      <c r="H26" s="11">
        <f t="shared" si="2"/>
        <v>32</v>
      </c>
      <c r="I26" s="10" t="str">
        <f t="shared" si="3"/>
        <v>I lirë</v>
      </c>
      <c r="J26" s="10"/>
    </row>
    <row r="27" spans="1:10">
      <c r="A27" s="9">
        <v>46254</v>
      </c>
      <c r="B27" s="10" t="s">
        <v>31</v>
      </c>
      <c r="C27" s="11">
        <f>SUMIFS(Rezervimet!$D$2:$D$102,Rezervimet!$G$2:$G$102,"&lt;="&amp;A27+1,Rezervimet!$H$2:$H$102,"&gt;="&amp;A27)</f>
        <v>0</v>
      </c>
      <c r="D27" s="11">
        <f t="shared" si="0"/>
        <v>2</v>
      </c>
      <c r="E27" s="11">
        <f>SUMIFS(Rezervimet!$E$2:$E$102,Rezervimet!$G$2:$G$102,"&lt;="&amp;A27+1,Rezervimet!$H$2:$H$102,"&gt;="&amp;A27)</f>
        <v>0</v>
      </c>
      <c r="F27" s="11">
        <f t="shared" si="1"/>
        <v>200</v>
      </c>
      <c r="G27" s="11">
        <f>SUMIFS(Rezervimet!$F$2:$F$102,Rezervimet!$G$2:$G$102,"&lt;="&amp;A27+1,Rezervimet!$H$2:$H$102,"&gt;="&amp;A27)</f>
        <v>0</v>
      </c>
      <c r="H27" s="11">
        <f t="shared" si="2"/>
        <v>32</v>
      </c>
      <c r="I27" s="10" t="str">
        <f t="shared" si="3"/>
        <v>I lirë</v>
      </c>
      <c r="J27" s="10"/>
    </row>
    <row r="28" spans="1:10">
      <c r="A28" s="9">
        <v>46255</v>
      </c>
      <c r="B28" s="10" t="s">
        <v>32</v>
      </c>
      <c r="C28" s="11">
        <f>SUMIFS(Rezervimet!$D$2:$D$102,Rezervimet!$G$2:$G$102,"&lt;="&amp;A28+1,Rezervimet!$H$2:$H$102,"&gt;="&amp;A28)</f>
        <v>0</v>
      </c>
      <c r="D28" s="11">
        <f t="shared" si="0"/>
        <v>2</v>
      </c>
      <c r="E28" s="11">
        <f>SUMIFS(Rezervimet!$E$2:$E$102,Rezervimet!$G$2:$G$102,"&lt;="&amp;A28+1,Rezervimet!$H$2:$H$102,"&gt;="&amp;A28)</f>
        <v>0</v>
      </c>
      <c r="F28" s="11">
        <f t="shared" si="1"/>
        <v>200</v>
      </c>
      <c r="G28" s="11">
        <f>SUMIFS(Rezervimet!$F$2:$F$102,Rezervimet!$G$2:$G$102,"&lt;="&amp;A28+1,Rezervimet!$H$2:$H$102,"&gt;="&amp;A28)</f>
        <v>0</v>
      </c>
      <c r="H28" s="11">
        <f t="shared" si="2"/>
        <v>32</v>
      </c>
      <c r="I28" s="10" t="str">
        <f t="shared" si="3"/>
        <v>I lirë</v>
      </c>
      <c r="J28" s="10"/>
    </row>
    <row r="29" spans="1:10">
      <c r="A29" s="9">
        <v>46256</v>
      </c>
      <c r="B29" s="10" t="s">
        <v>33</v>
      </c>
      <c r="C29" s="11">
        <f>SUMIFS(Rezervimet!$D$2:$D$102,Rezervimet!$G$2:$G$102,"&lt;="&amp;A29+1,Rezervimet!$H$2:$H$102,"&gt;="&amp;A29)</f>
        <v>0</v>
      </c>
      <c r="D29" s="11">
        <f t="shared" si="0"/>
        <v>2</v>
      </c>
      <c r="E29" s="11">
        <f>SUMIFS(Rezervimet!$E$2:$E$102,Rezervimet!$G$2:$G$102,"&lt;="&amp;A29+1,Rezervimet!$H$2:$H$102,"&gt;="&amp;A29)</f>
        <v>0</v>
      </c>
      <c r="F29" s="11">
        <f t="shared" si="1"/>
        <v>200</v>
      </c>
      <c r="G29" s="11">
        <f>SUMIFS(Rezervimet!$F$2:$F$102,Rezervimet!$G$2:$G$102,"&lt;="&amp;A29+1,Rezervimet!$H$2:$H$102,"&gt;="&amp;A29)</f>
        <v>0</v>
      </c>
      <c r="H29" s="11">
        <f t="shared" si="2"/>
        <v>32</v>
      </c>
      <c r="I29" s="10" t="str">
        <f t="shared" si="3"/>
        <v>I lirë</v>
      </c>
      <c r="J29" s="10"/>
    </row>
    <row r="30" spans="1:10">
      <c r="A30" s="9">
        <v>46257</v>
      </c>
      <c r="B30" s="10" t="s">
        <v>34</v>
      </c>
      <c r="C30" s="11">
        <f>SUMIFS(Rezervimet!$D$2:$D$102,Rezervimet!$G$2:$G$102,"&lt;="&amp;A30+1,Rezervimet!$H$2:$H$102,"&gt;="&amp;A30)</f>
        <v>0</v>
      </c>
      <c r="D30" s="11">
        <f t="shared" si="0"/>
        <v>2</v>
      </c>
      <c r="E30" s="11">
        <f>SUMIFS(Rezervimet!$E$2:$E$102,Rezervimet!$G$2:$G$102,"&lt;="&amp;A30+1,Rezervimet!$H$2:$H$102,"&gt;="&amp;A30)</f>
        <v>0</v>
      </c>
      <c r="F30" s="11">
        <f t="shared" si="1"/>
        <v>200</v>
      </c>
      <c r="G30" s="11">
        <f>SUMIFS(Rezervimet!$F$2:$F$102,Rezervimet!$G$2:$G$102,"&lt;="&amp;A30+1,Rezervimet!$H$2:$H$102,"&gt;="&amp;A30)</f>
        <v>0</v>
      </c>
      <c r="H30" s="11">
        <f t="shared" si="2"/>
        <v>32</v>
      </c>
      <c r="I30" s="10" t="str">
        <f t="shared" si="3"/>
        <v>I lirë</v>
      </c>
      <c r="J30" s="10"/>
    </row>
    <row r="31" spans="1:10">
      <c r="A31" s="9">
        <v>46258</v>
      </c>
      <c r="B31" s="10" t="s">
        <v>35</v>
      </c>
      <c r="C31" s="11">
        <f>SUMIFS(Rezervimet!$D$2:$D$102,Rezervimet!$G$2:$G$102,"&lt;="&amp;A31+1,Rezervimet!$H$2:$H$102,"&gt;="&amp;A31)</f>
        <v>0</v>
      </c>
      <c r="D31" s="11">
        <f t="shared" si="0"/>
        <v>2</v>
      </c>
      <c r="E31" s="11">
        <f>SUMIFS(Rezervimet!$E$2:$E$102,Rezervimet!$G$2:$G$102,"&lt;="&amp;A31+1,Rezervimet!$H$2:$H$102,"&gt;="&amp;A31)</f>
        <v>0</v>
      </c>
      <c r="F31" s="11">
        <f t="shared" si="1"/>
        <v>200</v>
      </c>
      <c r="G31" s="11">
        <f>SUMIFS(Rezervimet!$F$2:$F$102,Rezervimet!$G$2:$G$102,"&lt;="&amp;A31+1,Rezervimet!$H$2:$H$102,"&gt;="&amp;A31)</f>
        <v>0</v>
      </c>
      <c r="H31" s="11">
        <f t="shared" si="2"/>
        <v>32</v>
      </c>
      <c r="I31" s="10" t="str">
        <f t="shared" si="3"/>
        <v>I lirë</v>
      </c>
      <c r="J31" s="10"/>
    </row>
    <row r="32" spans="1:10">
      <c r="A32" s="9">
        <v>46259</v>
      </c>
      <c r="B32" s="10" t="s">
        <v>36</v>
      </c>
      <c r="C32" s="11">
        <f>SUMIFS(Rezervimet!$D$2:$D$102,Rezervimet!$G$2:$G$102,"&lt;="&amp;A32+1,Rezervimet!$H$2:$H$102,"&gt;="&amp;A32)</f>
        <v>0</v>
      </c>
      <c r="D32" s="11">
        <f t="shared" si="0"/>
        <v>2</v>
      </c>
      <c r="E32" s="11">
        <f>SUMIFS(Rezervimet!$E$2:$E$102,Rezervimet!$G$2:$G$102,"&lt;="&amp;A32+1,Rezervimet!$H$2:$H$102,"&gt;="&amp;A32)</f>
        <v>0</v>
      </c>
      <c r="F32" s="11">
        <f t="shared" si="1"/>
        <v>200</v>
      </c>
      <c r="G32" s="11">
        <f>SUMIFS(Rezervimet!$F$2:$F$102,Rezervimet!$G$2:$G$102,"&lt;="&amp;A32+1,Rezervimet!$H$2:$H$102,"&gt;="&amp;A32)</f>
        <v>0</v>
      </c>
      <c r="H32" s="11">
        <f t="shared" si="2"/>
        <v>32</v>
      </c>
      <c r="I32" s="10" t="str">
        <f t="shared" si="3"/>
        <v>I lirë</v>
      </c>
      <c r="J32" s="10"/>
    </row>
    <row r="33" spans="1:10">
      <c r="A33" s="9">
        <v>46260</v>
      </c>
      <c r="B33" s="10" t="s">
        <v>30</v>
      </c>
      <c r="C33" s="11">
        <f>SUMIFS(Rezervimet!$D$2:$D$102,Rezervimet!$G$2:$G$102,"&lt;="&amp;A33+1,Rezervimet!$H$2:$H$102,"&gt;="&amp;A33)</f>
        <v>0</v>
      </c>
      <c r="D33" s="11">
        <f t="shared" si="0"/>
        <v>2</v>
      </c>
      <c r="E33" s="11">
        <f>SUMIFS(Rezervimet!$E$2:$E$102,Rezervimet!$G$2:$G$102,"&lt;="&amp;A33+1,Rezervimet!$H$2:$H$102,"&gt;="&amp;A33)</f>
        <v>0</v>
      </c>
      <c r="F33" s="11">
        <f t="shared" si="1"/>
        <v>200</v>
      </c>
      <c r="G33" s="11">
        <f>SUMIFS(Rezervimet!$F$2:$F$102,Rezervimet!$G$2:$G$102,"&lt;="&amp;A33+1,Rezervimet!$H$2:$H$102,"&gt;="&amp;A33)</f>
        <v>0</v>
      </c>
      <c r="H33" s="11">
        <f t="shared" si="2"/>
        <v>32</v>
      </c>
      <c r="I33" s="10" t="str">
        <f t="shared" si="3"/>
        <v>I lirë</v>
      </c>
      <c r="J33" s="10"/>
    </row>
    <row r="34" spans="1:10">
      <c r="A34" s="9">
        <v>46261</v>
      </c>
      <c r="B34" s="10" t="s">
        <v>31</v>
      </c>
      <c r="C34" s="11">
        <f>SUMIFS(Rezervimet!$D$2:$D$102,Rezervimet!$G$2:$G$102,"&lt;="&amp;A34+1,Rezervimet!$H$2:$H$102,"&gt;="&amp;A34)</f>
        <v>0</v>
      </c>
      <c r="D34" s="11">
        <f t="shared" si="0"/>
        <v>2</v>
      </c>
      <c r="E34" s="11">
        <f>SUMIFS(Rezervimet!$E$2:$E$102,Rezervimet!$G$2:$G$102,"&lt;="&amp;A34+1,Rezervimet!$H$2:$H$102,"&gt;="&amp;A34)</f>
        <v>0</v>
      </c>
      <c r="F34" s="11">
        <f t="shared" si="1"/>
        <v>200</v>
      </c>
      <c r="G34" s="11">
        <f>SUMIFS(Rezervimet!$F$2:$F$102,Rezervimet!$G$2:$G$102,"&lt;="&amp;A34+1,Rezervimet!$H$2:$H$102,"&gt;="&amp;A34)</f>
        <v>0</v>
      </c>
      <c r="H34" s="11">
        <f t="shared" si="2"/>
        <v>32</v>
      </c>
      <c r="I34" s="10" t="str">
        <f t="shared" si="3"/>
        <v>I lirë</v>
      </c>
      <c r="J34" s="10"/>
    </row>
    <row r="35" spans="1:10">
      <c r="A35" s="9">
        <v>46262</v>
      </c>
      <c r="B35" s="10" t="s">
        <v>32</v>
      </c>
      <c r="C35" s="11">
        <f>SUMIFS(Rezervimet!$D$2:$D$102,Rezervimet!$G$2:$G$102,"&lt;="&amp;A35+1,Rezervimet!$H$2:$H$102,"&gt;="&amp;A35)</f>
        <v>0</v>
      </c>
      <c r="D35" s="11">
        <f t="shared" si="0"/>
        <v>2</v>
      </c>
      <c r="E35" s="11">
        <f>SUMIFS(Rezervimet!$E$2:$E$102,Rezervimet!$G$2:$G$102,"&lt;="&amp;A35+1,Rezervimet!$H$2:$H$102,"&gt;="&amp;A35)</f>
        <v>0</v>
      </c>
      <c r="F35" s="11">
        <f t="shared" si="1"/>
        <v>200</v>
      </c>
      <c r="G35" s="11">
        <f>SUMIFS(Rezervimet!$F$2:$F$102,Rezervimet!$G$2:$G$102,"&lt;="&amp;A35+1,Rezervimet!$H$2:$H$102,"&gt;="&amp;A35)</f>
        <v>0</v>
      </c>
      <c r="H35" s="11">
        <f t="shared" si="2"/>
        <v>32</v>
      </c>
      <c r="I35" s="10" t="str">
        <f t="shared" si="3"/>
        <v>I lirë</v>
      </c>
      <c r="J35" s="10"/>
    </row>
    <row r="36" spans="1:10">
      <c r="A36" s="9">
        <v>46263</v>
      </c>
      <c r="B36" s="10" t="s">
        <v>33</v>
      </c>
      <c r="C36" s="11">
        <f>SUMIFS(Rezervimet!$D$2:$D$102,Rezervimet!$G$2:$G$102,"&lt;="&amp;A36+1,Rezervimet!$H$2:$H$102,"&gt;="&amp;A36)</f>
        <v>0</v>
      </c>
      <c r="D36" s="11">
        <f t="shared" si="0"/>
        <v>2</v>
      </c>
      <c r="E36" s="11">
        <f>SUMIFS(Rezervimet!$E$2:$E$102,Rezervimet!$G$2:$G$102,"&lt;="&amp;A36+1,Rezervimet!$H$2:$H$102,"&gt;="&amp;A36)</f>
        <v>0</v>
      </c>
      <c r="F36" s="11">
        <f t="shared" si="1"/>
        <v>200</v>
      </c>
      <c r="G36" s="11">
        <f>SUMIFS(Rezervimet!$F$2:$F$102,Rezervimet!$G$2:$G$102,"&lt;="&amp;A36+1,Rezervimet!$H$2:$H$102,"&gt;="&amp;A36)</f>
        <v>0</v>
      </c>
      <c r="H36" s="11">
        <f t="shared" si="2"/>
        <v>32</v>
      </c>
      <c r="I36" s="10" t="str">
        <f t="shared" si="3"/>
        <v>I lirë</v>
      </c>
      <c r="J36" s="10"/>
    </row>
    <row r="37" spans="1:10">
      <c r="A37" s="9">
        <v>46264</v>
      </c>
      <c r="B37" s="10" t="s">
        <v>34</v>
      </c>
      <c r="C37" s="11">
        <f>SUMIFS(Rezervimet!$D$2:$D$102,Rezervimet!$G$2:$G$102,"&lt;="&amp;A37+1,Rezervimet!$H$2:$H$102,"&gt;="&amp;A37)</f>
        <v>0</v>
      </c>
      <c r="D37" s="11">
        <f t="shared" si="0"/>
        <v>2</v>
      </c>
      <c r="E37" s="11">
        <f>SUMIFS(Rezervimet!$E$2:$E$102,Rezervimet!$G$2:$G$102,"&lt;="&amp;A37+1,Rezervimet!$H$2:$H$102,"&gt;="&amp;A37)</f>
        <v>0</v>
      </c>
      <c r="F37" s="11">
        <f t="shared" si="1"/>
        <v>200</v>
      </c>
      <c r="G37" s="11">
        <f>SUMIFS(Rezervimet!$F$2:$F$102,Rezervimet!$G$2:$G$102,"&lt;="&amp;A37+1,Rezervimet!$H$2:$H$102,"&gt;="&amp;A37)</f>
        <v>0</v>
      </c>
      <c r="H37" s="11">
        <f t="shared" si="2"/>
        <v>32</v>
      </c>
      <c r="I37" s="10" t="str">
        <f t="shared" si="3"/>
        <v>I lirë</v>
      </c>
      <c r="J37" s="10"/>
    </row>
    <row r="38" spans="1:10">
      <c r="A38" s="9">
        <v>46265</v>
      </c>
      <c r="B38" s="10" t="s">
        <v>35</v>
      </c>
      <c r="C38" s="11">
        <f>SUMIFS(Rezervimet!$D$2:$D$102,Rezervimet!$G$2:$G$102,"&lt;="&amp;A38+1,Rezervimet!$H$2:$H$102,"&gt;="&amp;A38)</f>
        <v>0</v>
      </c>
      <c r="D38" s="11">
        <f t="shared" si="0"/>
        <v>2</v>
      </c>
      <c r="E38" s="11">
        <f>SUMIFS(Rezervimet!$E$2:$E$102,Rezervimet!$G$2:$G$102,"&lt;="&amp;A38+1,Rezervimet!$H$2:$H$102,"&gt;="&amp;A38)</f>
        <v>0</v>
      </c>
      <c r="F38" s="11">
        <f t="shared" si="1"/>
        <v>200</v>
      </c>
      <c r="G38" s="11">
        <f>SUMIFS(Rezervimet!$F$2:$F$102,Rezervimet!$G$2:$G$102,"&lt;="&amp;A38+1,Rezervimet!$H$2:$H$102,"&gt;="&amp;A38)</f>
        <v>0</v>
      </c>
      <c r="H38" s="11">
        <f t="shared" si="2"/>
        <v>32</v>
      </c>
      <c r="I38" s="10" t="str">
        <f t="shared" si="3"/>
        <v>I lirë</v>
      </c>
      <c r="J38" s="10"/>
    </row>
  </sheetData>
  <mergeCells count="1">
    <mergeCell ref="A1:J1"/>
  </mergeCells>
  <conditionalFormatting sqref="D8:D38">
    <cfRule type="cellIs" dxfId="5" priority="1" operator="lessThan">
      <formula>0</formula>
    </cfRule>
  </conditionalFormatting>
  <conditionalFormatting sqref="F8:F38">
    <cfRule type="cellIs" dxfId="4" priority="2" operator="lessThan">
      <formula>0</formula>
    </cfRule>
  </conditionalFormatting>
  <conditionalFormatting sqref="H8:H38">
    <cfRule type="cellIs" dxfId="3" priority="3" operator="lessThan">
      <formula>0</formula>
    </cfRule>
  </conditionalFormatting>
  <conditionalFormatting sqref="I8:I38">
    <cfRule type="expression" dxfId="2" priority="4">
      <formula>$I8="I lirë"</formula>
    </cfRule>
    <cfRule type="expression" dxfId="1" priority="5">
      <formula>$I8="Ka rezervime"</formula>
    </cfRule>
    <cfRule type="expression" dxfId="0" priority="6">
      <formula>$I8="Mungesë inventari"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Inventari</vt:lpstr>
      <vt:lpstr>Rezervimet</vt:lpstr>
      <vt:lpstr>Korrik 2026</vt:lpstr>
      <vt:lpstr>Gusht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Ermal Mehmeti</cp:lastModifiedBy>
  <cp:lastPrinted>2026-08-01T15:36:54Z</cp:lastPrinted>
  <dcterms:created xsi:type="dcterms:W3CDTF">2026-06-17T16:46:27Z</dcterms:created>
  <dcterms:modified xsi:type="dcterms:W3CDTF">2026-08-12T15:54:29Z</dcterms:modified>
</cp:coreProperties>
</file>